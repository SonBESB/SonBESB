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enjamin Sanhueza\Downloads\"/>
    </mc:Choice>
  </mc:AlternateContent>
  <xr:revisionPtr revIDLastSave="0" documentId="13_ncr:1_{DE34FB94-D6D2-43D7-861D-C2FDCF5FFB68}" xr6:coauthVersionLast="47" xr6:coauthVersionMax="47" xr10:uidLastSave="{00000000-0000-0000-0000-000000000000}"/>
  <bookViews>
    <workbookView xWindow="-23148" yWindow="-768" windowWidth="23256" windowHeight="12456" activeTab="2" xr2:uid="{00000000-000D-0000-FFFF-FFFF00000000}"/>
  </bookViews>
  <sheets>
    <sheet name="BD_Codos" sheetId="1" r:id="rId1"/>
    <sheet name="BD_PN" sheetId="2" r:id="rId2"/>
    <sheet name="BUSCADOR" sheetId="3" r:id="rId3"/>
    <sheet name="Codo 30" sheetId="4" r:id="rId4"/>
    <sheet name="Codo 45" sheetId="5" r:id="rId5"/>
    <sheet name="Codo 60" sheetId="6" r:id="rId6"/>
    <sheet name="Codo 90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C10" i="7"/>
  <c r="C9" i="7"/>
  <c r="C11" i="7" s="1"/>
  <c r="C8" i="7"/>
  <c r="C7" i="7"/>
  <c r="C6" i="7"/>
  <c r="C10" i="6"/>
  <c r="C9" i="6"/>
  <c r="C11" i="6" s="1"/>
  <c r="C8" i="6"/>
  <c r="C7" i="6"/>
  <c r="C6" i="6"/>
  <c r="C10" i="5"/>
  <c r="C9" i="5"/>
  <c r="C11" i="5" s="1"/>
  <c r="C8" i="5"/>
  <c r="C7" i="5"/>
  <c r="C6" i="5"/>
  <c r="C10" i="4"/>
  <c r="C9" i="4"/>
  <c r="C11" i="4" s="1"/>
  <c r="C8" i="4"/>
  <c r="C7" i="4"/>
  <c r="C6" i="4"/>
  <c r="C17" i="3"/>
  <c r="C15" i="3"/>
  <c r="C14" i="3"/>
  <c r="C16" i="3" s="1"/>
  <c r="C13" i="3"/>
  <c r="C12" i="3"/>
  <c r="C11" i="3"/>
  <c r="C10" i="3"/>
  <c r="C9" i="3"/>
  <c r="C18" i="3" l="1"/>
</calcChain>
</file>

<file path=xl/sharedStrings.xml><?xml version="1.0" encoding="utf-8"?>
<sst xmlns="http://schemas.openxmlformats.org/spreadsheetml/2006/main" count="473" uniqueCount="94">
  <si>
    <t>DN mm</t>
  </si>
  <si>
    <t>DN equiv.</t>
  </si>
  <si>
    <t>R mm</t>
  </si>
  <si>
    <t>Le min mm</t>
  </si>
  <si>
    <t>Z 30° mm</t>
  </si>
  <si>
    <t>Z 45° mm</t>
  </si>
  <si>
    <t>Z 60° mm</t>
  </si>
  <si>
    <t>Z 90° mm</t>
  </si>
  <si>
    <t>Fuente</t>
  </si>
  <si>
    <t>4"</t>
  </si>
  <si>
    <t>5"</t>
  </si>
  <si>
    <t>5 1/2"</t>
  </si>
  <si>
    <t>6"</t>
  </si>
  <si>
    <t>8"</t>
  </si>
  <si>
    <t>10"</t>
  </si>
  <si>
    <t>12"</t>
  </si>
  <si>
    <t>14"</t>
  </si>
  <si>
    <t>16"</t>
  </si>
  <si>
    <t>18"</t>
  </si>
  <si>
    <t>20"</t>
  </si>
  <si>
    <t>22"</t>
  </si>
  <si>
    <t>24"</t>
  </si>
  <si>
    <t>28"</t>
  </si>
  <si>
    <t>32"</t>
  </si>
  <si>
    <t>36"</t>
  </si>
  <si>
    <t>40"</t>
  </si>
  <si>
    <t>48"</t>
  </si>
  <si>
    <t>54"</t>
  </si>
  <si>
    <t>64"</t>
  </si>
  <si>
    <t>PN4</t>
  </si>
  <si>
    <t>PN6</t>
  </si>
  <si>
    <t>PN8</t>
  </si>
  <si>
    <t>PN10</t>
  </si>
  <si>
    <t>PN12,5</t>
  </si>
  <si>
    <t>PN16</t>
  </si>
  <si>
    <t>PN20</t>
  </si>
  <si>
    <t>SDR por PN</t>
  </si>
  <si>
    <t>N/D</t>
  </si>
  <si>
    <t>BUSCADOR PARAMÉTRICO - CODOS SEGMENTADOS HDPE PE100</t>
  </si>
  <si>
    <t>Parámetro</t>
  </si>
  <si>
    <t>Selección</t>
  </si>
  <si>
    <t>Ángulo</t>
  </si>
  <si>
    <t>90°</t>
  </si>
  <si>
    <t>PN</t>
  </si>
  <si>
    <t>DN (mm)</t>
  </si>
  <si>
    <t>PARÁMETROS PARA MODELAR EN INVENTOR</t>
  </si>
  <si>
    <t>Diámetro exterior d</t>
  </si>
  <si>
    <t>mm</t>
  </si>
  <si>
    <t>DN equivalente</t>
  </si>
  <si>
    <t>Radio r</t>
  </si>
  <si>
    <t>Le mín.</t>
  </si>
  <si>
    <t>Z mín.</t>
  </si>
  <si>
    <t>Espesor e</t>
  </si>
  <si>
    <t>SDR</t>
  </si>
  <si>
    <t>Diámetro interior aprox.</t>
  </si>
  <si>
    <t>Configuración</t>
  </si>
  <si>
    <t>Estado PN/DN</t>
  </si>
  <si>
    <t>CRITERIOS / FUENTE</t>
  </si>
  <si>
    <t>Norma fitting</t>
  </si>
  <si>
    <t>DIN 16963 Parte 1 - codos segmentados por termofusión.</t>
  </si>
  <si>
    <t>Norma tubería</t>
  </si>
  <si>
    <t>PE100 según ISO 4427 / ISO 4065.</t>
  </si>
  <si>
    <t>Radio</t>
  </si>
  <si>
    <t>r = 1,5 d según Tablas 6.1.1 y 6.1.2.</t>
  </si>
  <si>
    <t>Le / Z</t>
  </si>
  <si>
    <t>Dimensiones mínimas indicadas por el catálogo.</t>
  </si>
  <si>
    <t>Nota</t>
  </si>
  <si>
    <t>DN 1200 a 1600 figuran como valores no cubiertos por DIN 16963.</t>
  </si>
  <si>
    <t>CODO SEGMENTADO 30° - HDPE PE100</t>
  </si>
  <si>
    <t>Valor</t>
  </si>
  <si>
    <t>R</t>
  </si>
  <si>
    <t>Le min</t>
  </si>
  <si>
    <t>Zmin</t>
  </si>
  <si>
    <t>Clase PN</t>
  </si>
  <si>
    <t>DN</t>
  </si>
  <si>
    <t>Le</t>
  </si>
  <si>
    <t>Z</t>
  </si>
  <si>
    <t>e</t>
  </si>
  <si>
    <t>D int.</t>
  </si>
  <si>
    <t>Giro total 30° según esquema de catálogo</t>
  </si>
  <si>
    <t>NOTAS DE DISEÑO</t>
  </si>
  <si>
    <t>r = 1,5 d según catálogo.</t>
  </si>
  <si>
    <t>DIN 16963 Parte 1.</t>
  </si>
  <si>
    <t>PE100 ISO 4427 / ISO 4065.</t>
  </si>
  <si>
    <t>Unión</t>
  </si>
  <si>
    <t>Codo segmentado para soldadura por termofusión.</t>
  </si>
  <si>
    <t>Catálogo HDPE 2.pdf - pág. 13.</t>
  </si>
  <si>
    <t>CODO SEGMENTADO 45° - HDPE PE100</t>
  </si>
  <si>
    <t>11,25° - 22,5° - 11,25°</t>
  </si>
  <si>
    <t>CODO SEGMENTADO 60° - HDPE PE100</t>
  </si>
  <si>
    <t>15° - 30° - 15°</t>
  </si>
  <si>
    <t>Catálogo HDPE 2.pdf - pág. 12.</t>
  </si>
  <si>
    <t>CODO SEGMENTADO 90° - HDPE PE100</t>
  </si>
  <si>
    <t>15° - 30° - 30° - 15°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</si>
</sst>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B00020"/>
      <name val="Carlito"/>
    </font>
    <font>
      <b/>
      <sz val="11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A72AA2"/>
      </patternFill>
    </fill>
    <fill>
      <patternFill patternType="solid">
        <fgColor rgb="FF7E1C7B"/>
      </patternFill>
    </fill>
    <fill>
      <patternFill patternType="solid">
        <fgColor rgb="FFEBC9EA"/>
      </patternFill>
    </fill>
    <fill>
      <patternFill patternType="solid">
        <fgColor rgb="FFFFFFFF"/>
      </patternFill>
    </fill>
    <fill>
      <patternFill patternType="solid">
        <fgColor rgb="FFF5E7F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222222"/>
      </left>
      <right/>
      <top style="thin">
        <color rgb="FF222222"/>
      </top>
      <bottom style="thin">
        <color rgb="FF222222"/>
      </bottom>
      <diagonal/>
    </border>
    <border>
      <left/>
      <right/>
      <top style="thin">
        <color rgb="FF222222"/>
      </top>
      <bottom style="thin">
        <color rgb="FF222222"/>
      </bottom>
      <diagonal/>
    </border>
    <border>
      <left/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rgb="FF222222"/>
      </left>
      <right/>
      <top style="thin">
        <color rgb="FF222222"/>
      </top>
      <bottom style="thin">
        <color rgb="FF222222"/>
      </bottom>
      <diagonal/>
    </border>
    <border>
      <left/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rgb="FF222222"/>
      </left>
      <right/>
      <top/>
      <bottom/>
      <diagonal/>
    </border>
    <border>
      <left/>
      <right style="thin">
        <color rgb="FF222222"/>
      </right>
      <top/>
      <bottom/>
      <diagonal/>
    </border>
    <border>
      <left style="thin">
        <color rgb="FF222222"/>
      </left>
      <right/>
      <top/>
      <bottom style="thin">
        <color rgb="FF222222"/>
      </bottom>
      <diagonal/>
    </border>
    <border>
      <left/>
      <right/>
      <top/>
      <bottom style="thin">
        <color rgb="FF222222"/>
      </bottom>
      <diagonal/>
    </border>
    <border>
      <left/>
      <right style="thin">
        <color rgb="FF222222"/>
      </right>
      <top/>
      <bottom style="thin">
        <color rgb="FF222222"/>
      </bottom>
      <diagonal/>
    </border>
    <border>
      <left style="thin">
        <color rgb="FF222222"/>
      </left>
      <right/>
      <top/>
      <bottom/>
      <diagonal/>
    </border>
    <border>
      <left/>
      <right style="thin">
        <color rgb="FF222222"/>
      </right>
      <top/>
      <bottom/>
      <diagonal/>
    </border>
    <border>
      <left/>
      <right/>
      <top/>
      <bottom style="thin">
        <color rgb="FF222222"/>
      </bottom>
      <diagonal/>
    </border>
    <border>
      <left/>
      <right style="thin">
        <color rgb="FF222222"/>
      </right>
      <top/>
      <bottom style="thin">
        <color rgb="FF222222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/>
      <diagonal/>
    </border>
    <border>
      <left style="thin">
        <color rgb="FF222222"/>
      </left>
      <right style="thin">
        <color rgb="FF222222"/>
      </right>
      <top/>
      <bottom/>
      <diagonal/>
    </border>
    <border>
      <left style="thin">
        <color rgb="FF222222"/>
      </left>
      <right style="thin">
        <color rgb="FF222222"/>
      </right>
      <top/>
      <bottom style="thin">
        <color rgb="FF222222"/>
      </bottom>
      <diagonal/>
    </border>
    <border>
      <left style="thin">
        <color rgb="FF222222"/>
      </left>
      <right/>
      <top style="thin">
        <color rgb="FF222222"/>
      </top>
      <bottom/>
      <diagonal/>
    </border>
    <border>
      <left/>
      <right/>
      <top style="thin">
        <color rgb="FF222222"/>
      </top>
      <bottom/>
      <diagonal/>
    </border>
    <border>
      <left/>
      <right style="thin">
        <color rgb="FF222222"/>
      </right>
      <top style="thin">
        <color rgb="FF222222"/>
      </top>
      <bottom/>
      <diagonal/>
    </border>
    <border>
      <left style="thin">
        <color rgb="FF222222"/>
      </left>
      <right/>
      <top style="thin">
        <color rgb="FF222222"/>
      </top>
      <bottom/>
      <diagonal/>
    </border>
    <border>
      <left/>
      <right/>
      <top style="thin">
        <color rgb="FF222222"/>
      </top>
      <bottom/>
      <diagonal/>
    </border>
    <border>
      <left/>
      <right style="thin">
        <color rgb="FF222222"/>
      </right>
      <top style="thin">
        <color rgb="FF22222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222222"/>
      </left>
      <right/>
      <top/>
      <bottom style="thin">
        <color indexed="64"/>
      </bottom>
      <diagonal/>
    </border>
    <border>
      <left/>
      <right style="thin">
        <color rgb="FF222222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vertical="center"/>
    </xf>
    <xf numFmtId="0" fontId="4" fillId="5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vertical="center"/>
    </xf>
    <xf numFmtId="0" fontId="4" fillId="5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3" fillId="6" borderId="7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8" xfId="0" applyBorder="1" applyAlignment="1">
      <alignment vertical="center"/>
    </xf>
    <xf numFmtId="0" fontId="3" fillId="6" borderId="9" xfId="0" applyFont="1" applyFill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4" borderId="9" xfId="0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161925</xdr:colOff>
      <xdr:row>1</xdr:row>
      <xdr:rowOff>9525</xdr:rowOff>
    </xdr:from>
    <xdr:ext cx="2428875" cy="2524125"/>
    <xdr:pic>
      <xdr:nvPicPr>
        <xdr:cNvPr id="2" name="fb188cc5-4762-4431-832f-37f9c657e1e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11125" y="257175"/>
          <a:ext cx="2428875" cy="2524125"/>
        </a:xfrm>
        <a:prstGeom prst="rect">
          <a:avLst/>
        </a:prstGeom>
      </xdr:spPr>
    </xdr:pic>
    <xdr:clientData/>
  </xdr:oneCellAnchor>
  <xdr:oneCellAnchor>
    <xdr:from>
      <xdr:col>9</xdr:col>
      <xdr:colOff>485775</xdr:colOff>
      <xdr:row>0</xdr:row>
      <xdr:rowOff>238125</xdr:rowOff>
    </xdr:from>
    <xdr:ext cx="2428875" cy="2524125"/>
    <xdr:pic>
      <xdr:nvPicPr>
        <xdr:cNvPr id="3" name="92ed7f00-cf49-4f8f-bf68-c97dab3b6069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238125"/>
          <a:ext cx="2428875" cy="2524125"/>
        </a:xfrm>
        <a:prstGeom prst="rect">
          <a:avLst/>
        </a:prstGeom>
      </xdr:spPr>
    </xdr:pic>
    <xdr:clientData/>
  </xdr:oneCellAnchor>
  <xdr:oneCellAnchor>
    <xdr:from>
      <xdr:col>6</xdr:col>
      <xdr:colOff>85725</xdr:colOff>
      <xdr:row>0</xdr:row>
      <xdr:rowOff>238125</xdr:rowOff>
    </xdr:from>
    <xdr:ext cx="2428875" cy="2524125"/>
    <xdr:pic>
      <xdr:nvPicPr>
        <xdr:cNvPr id="4" name="181240b4-fb42-43dc-b67e-19e79911f74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4325" y="238125"/>
          <a:ext cx="2428875" cy="2524125"/>
        </a:xfrm>
        <a:prstGeom prst="rect">
          <a:avLst/>
        </a:prstGeom>
      </xdr:spPr>
    </xdr:pic>
    <xdr:clientData/>
  </xdr:oneCellAnchor>
  <xdr:oneCellAnchor>
    <xdr:from>
      <xdr:col>4</xdr:col>
      <xdr:colOff>400050</xdr:colOff>
      <xdr:row>1</xdr:row>
      <xdr:rowOff>0</xdr:rowOff>
    </xdr:from>
    <xdr:ext cx="2428875" cy="2524125"/>
    <xdr:pic>
      <xdr:nvPicPr>
        <xdr:cNvPr id="5" name="475b0a07-1fa3-4b3c-b354-e718f8d586b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05450" y="247650"/>
          <a:ext cx="2428875" cy="25241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381000</xdr:colOff>
      <xdr:row>0</xdr:row>
      <xdr:rowOff>66675</xdr:rowOff>
    </xdr:from>
    <xdr:ext cx="3429000" cy="3619500"/>
    <xdr:pic>
      <xdr:nvPicPr>
        <xdr:cNvPr id="2" name="5619cfc3-1c49-4687-806a-746ab7df718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0" y="66675"/>
          <a:ext cx="3429000" cy="3619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161925</xdr:colOff>
      <xdr:row>0</xdr:row>
      <xdr:rowOff>0</xdr:rowOff>
    </xdr:from>
    <xdr:ext cx="3429000" cy="3619500"/>
    <xdr:pic>
      <xdr:nvPicPr>
        <xdr:cNvPr id="2" name="523cca38-918a-4ff9-9dbb-c1c380be664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35325" y="0"/>
          <a:ext cx="3429000" cy="3619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66675</xdr:colOff>
      <xdr:row>0</xdr:row>
      <xdr:rowOff>28575</xdr:rowOff>
    </xdr:from>
    <xdr:ext cx="3429000" cy="3619500"/>
    <xdr:pic>
      <xdr:nvPicPr>
        <xdr:cNvPr id="2" name="120b7507-1892-4ddd-bf91-2cf2fc33a8c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0075" y="28575"/>
          <a:ext cx="3429000" cy="3619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114300</xdr:colOff>
      <xdr:row>0</xdr:row>
      <xdr:rowOff>28575</xdr:rowOff>
    </xdr:from>
    <xdr:ext cx="3429000" cy="3619500"/>
    <xdr:pic>
      <xdr:nvPicPr>
        <xdr:cNvPr id="2" name="73b3fb41-fa46-4920-bfed-0f0814c18f9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87700" y="28575"/>
          <a:ext cx="3429000" cy="3619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workbookViewId="0">
      <selection activeCell="D32" sqref="D32"/>
    </sheetView>
  </sheetViews>
  <sheetFormatPr baseColWidth="10" defaultColWidth="9" defaultRowHeight="14.25"/>
  <cols>
    <col min="1" max="8" width="13" customWidth="1"/>
  </cols>
  <sheetData>
    <row r="1" spans="1:17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</row>
    <row r="2" spans="1:17">
      <c r="A2" s="22">
        <v>110</v>
      </c>
      <c r="B2" s="23" t="s">
        <v>9</v>
      </c>
      <c r="C2" s="23">
        <v>165</v>
      </c>
      <c r="D2" s="23">
        <v>150</v>
      </c>
      <c r="E2" s="23">
        <v>194</v>
      </c>
      <c r="F2" s="23">
        <v>218</v>
      </c>
      <c r="G2" s="23">
        <v>245</v>
      </c>
      <c r="H2" s="24">
        <v>315</v>
      </c>
      <c r="I2" s="4"/>
      <c r="J2" s="4"/>
      <c r="K2" s="4"/>
      <c r="L2" s="4"/>
    </row>
    <row r="3" spans="1:17">
      <c r="A3" s="22">
        <v>125</v>
      </c>
      <c r="B3" s="23" t="s">
        <v>10</v>
      </c>
      <c r="C3" s="23">
        <v>188</v>
      </c>
      <c r="D3" s="23">
        <v>150</v>
      </c>
      <c r="E3" s="23">
        <v>200</v>
      </c>
      <c r="F3" s="23">
        <v>228</v>
      </c>
      <c r="G3" s="23">
        <v>258</v>
      </c>
      <c r="H3" s="24">
        <v>338</v>
      </c>
      <c r="I3" s="4"/>
      <c r="J3" s="4"/>
      <c r="K3" s="4"/>
      <c r="L3" s="4"/>
      <c r="M3" s="4"/>
      <c r="N3" s="4"/>
      <c r="O3" s="4"/>
      <c r="P3" s="4"/>
      <c r="Q3" s="4"/>
    </row>
    <row r="4" spans="1:17">
      <c r="A4" s="22">
        <v>140</v>
      </c>
      <c r="B4" s="23" t="s">
        <v>11</v>
      </c>
      <c r="C4" s="23">
        <v>210</v>
      </c>
      <c r="D4" s="23">
        <v>150</v>
      </c>
      <c r="E4" s="23">
        <v>206</v>
      </c>
      <c r="F4" s="23">
        <v>237</v>
      </c>
      <c r="G4" s="23">
        <v>271</v>
      </c>
      <c r="H4" s="24">
        <v>360</v>
      </c>
      <c r="I4" s="4"/>
      <c r="J4" s="4"/>
      <c r="K4" s="4"/>
      <c r="L4" s="4"/>
      <c r="M4" s="4"/>
      <c r="N4" s="4"/>
      <c r="O4" s="4"/>
      <c r="P4" s="4"/>
      <c r="Q4" s="4"/>
    </row>
    <row r="5" spans="1:17">
      <c r="A5" s="22">
        <v>160</v>
      </c>
      <c r="B5" s="23" t="s">
        <v>12</v>
      </c>
      <c r="C5" s="23">
        <v>240</v>
      </c>
      <c r="D5" s="23">
        <v>150</v>
      </c>
      <c r="E5" s="23">
        <v>214</v>
      </c>
      <c r="F5" s="23">
        <v>249</v>
      </c>
      <c r="G5" s="23">
        <v>288</v>
      </c>
      <c r="H5" s="24">
        <v>390</v>
      </c>
      <c r="I5" s="4"/>
      <c r="J5" s="4"/>
      <c r="K5" s="4"/>
      <c r="L5" s="4"/>
      <c r="M5" s="4"/>
      <c r="N5" s="4"/>
      <c r="O5" s="4"/>
      <c r="P5" s="4"/>
      <c r="Q5" s="4"/>
    </row>
    <row r="6" spans="1:17">
      <c r="A6" s="22">
        <v>180</v>
      </c>
      <c r="B6" s="23" t="s">
        <v>12</v>
      </c>
      <c r="C6" s="23">
        <v>270</v>
      </c>
      <c r="D6" s="23">
        <v>150</v>
      </c>
      <c r="E6" s="23">
        <v>222</v>
      </c>
      <c r="F6" s="23">
        <v>262</v>
      </c>
      <c r="G6" s="23">
        <v>305</v>
      </c>
      <c r="H6" s="24">
        <v>420</v>
      </c>
      <c r="I6" s="4"/>
      <c r="J6" s="4"/>
      <c r="K6" s="4"/>
      <c r="L6" s="4"/>
      <c r="M6" s="4"/>
      <c r="N6" s="4"/>
      <c r="O6" s="4"/>
      <c r="P6" s="4"/>
      <c r="Q6" s="4"/>
    </row>
    <row r="7" spans="1:17">
      <c r="A7" s="22">
        <v>200</v>
      </c>
      <c r="B7" s="23" t="s">
        <v>13</v>
      </c>
      <c r="C7" s="23">
        <v>300</v>
      </c>
      <c r="D7" s="23">
        <v>150</v>
      </c>
      <c r="E7" s="23">
        <v>230</v>
      </c>
      <c r="F7" s="23">
        <v>274</v>
      </c>
      <c r="G7" s="23">
        <v>323</v>
      </c>
      <c r="H7" s="24">
        <v>450</v>
      </c>
      <c r="I7" s="4"/>
      <c r="J7" s="4"/>
      <c r="K7" s="4"/>
      <c r="L7" s="4"/>
      <c r="M7" s="4"/>
      <c r="N7" s="4"/>
      <c r="O7" s="4"/>
      <c r="P7" s="4"/>
      <c r="Q7" s="4"/>
    </row>
    <row r="8" spans="1:17">
      <c r="A8" s="22">
        <v>225</v>
      </c>
      <c r="B8" s="23" t="s">
        <v>13</v>
      </c>
      <c r="C8" s="23">
        <v>338</v>
      </c>
      <c r="D8" s="23">
        <v>150</v>
      </c>
      <c r="E8" s="23">
        <v>241</v>
      </c>
      <c r="F8" s="23">
        <v>290</v>
      </c>
      <c r="G8" s="23">
        <v>345</v>
      </c>
      <c r="H8" s="24">
        <v>488</v>
      </c>
      <c r="I8" s="4"/>
      <c r="J8" s="4"/>
      <c r="K8" s="4"/>
      <c r="L8" s="4"/>
      <c r="M8" s="4"/>
      <c r="N8" s="4"/>
      <c r="O8" s="4"/>
      <c r="P8" s="4"/>
      <c r="Q8" s="4"/>
    </row>
    <row r="9" spans="1:17">
      <c r="A9" s="22">
        <v>250</v>
      </c>
      <c r="B9" s="23" t="s">
        <v>14</v>
      </c>
      <c r="C9" s="23">
        <v>375</v>
      </c>
      <c r="D9" s="23">
        <v>250</v>
      </c>
      <c r="E9" s="23">
        <v>350</v>
      </c>
      <c r="F9" s="23">
        <v>412</v>
      </c>
      <c r="G9" s="23">
        <v>466</v>
      </c>
      <c r="H9" s="24">
        <v>625</v>
      </c>
      <c r="I9" s="4"/>
      <c r="J9" s="4"/>
      <c r="K9" s="4"/>
      <c r="L9" s="4"/>
      <c r="M9" s="4"/>
      <c r="N9" s="4"/>
      <c r="O9" s="4"/>
      <c r="P9" s="4"/>
      <c r="Q9" s="4"/>
    </row>
    <row r="10" spans="1:17">
      <c r="A10" s="22">
        <v>280</v>
      </c>
      <c r="B10" s="23" t="s">
        <v>14</v>
      </c>
      <c r="C10" s="23">
        <v>420</v>
      </c>
      <c r="D10" s="23">
        <v>250</v>
      </c>
      <c r="E10" s="23">
        <v>362</v>
      </c>
      <c r="F10" s="23">
        <v>424</v>
      </c>
      <c r="G10" s="23">
        <v>492</v>
      </c>
      <c r="H10" s="24">
        <v>670</v>
      </c>
      <c r="I10" s="4"/>
      <c r="J10" s="4"/>
      <c r="K10" s="4"/>
      <c r="L10" s="4"/>
      <c r="M10" s="4"/>
      <c r="N10" s="4"/>
      <c r="O10" s="4"/>
      <c r="P10" s="4"/>
      <c r="Q10" s="4"/>
    </row>
    <row r="11" spans="1:17">
      <c r="A11" s="22">
        <v>315</v>
      </c>
      <c r="B11" s="23" t="s">
        <v>15</v>
      </c>
      <c r="C11" s="23">
        <v>473</v>
      </c>
      <c r="D11" s="23">
        <v>300</v>
      </c>
      <c r="E11" s="23">
        <v>428</v>
      </c>
      <c r="F11" s="23">
        <v>498</v>
      </c>
      <c r="G11" s="23">
        <v>576</v>
      </c>
      <c r="H11" s="24">
        <v>773</v>
      </c>
      <c r="I11" s="4"/>
      <c r="J11" s="4"/>
      <c r="K11" s="4"/>
      <c r="L11" s="4"/>
      <c r="M11" s="4"/>
      <c r="N11" s="4"/>
      <c r="O11" s="4"/>
      <c r="P11" s="4"/>
      <c r="Q11" s="4"/>
    </row>
    <row r="12" spans="1:17">
      <c r="A12" s="22">
        <v>355</v>
      </c>
      <c r="B12" s="23" t="s">
        <v>16</v>
      </c>
      <c r="C12" s="23">
        <v>533</v>
      </c>
      <c r="D12" s="23">
        <v>300</v>
      </c>
      <c r="E12" s="23">
        <v>443</v>
      </c>
      <c r="F12" s="23">
        <v>520</v>
      </c>
      <c r="G12" s="23">
        <v>608</v>
      </c>
      <c r="H12" s="24">
        <v>833</v>
      </c>
      <c r="I12" s="4"/>
      <c r="J12" s="4"/>
      <c r="K12" s="4"/>
      <c r="L12" s="4"/>
      <c r="M12" s="4"/>
      <c r="N12" s="4"/>
      <c r="O12" s="4"/>
      <c r="P12" s="4"/>
      <c r="Q12" s="4"/>
    </row>
    <row r="13" spans="1:17">
      <c r="A13" s="22">
        <v>400</v>
      </c>
      <c r="B13" s="23" t="s">
        <v>17</v>
      </c>
      <c r="C13" s="23">
        <v>600</v>
      </c>
      <c r="D13" s="23">
        <v>300</v>
      </c>
      <c r="E13" s="23">
        <v>461</v>
      </c>
      <c r="F13" s="23">
        <v>548</v>
      </c>
      <c r="G13" s="23">
        <v>646</v>
      </c>
      <c r="H13" s="24">
        <v>900</v>
      </c>
      <c r="I13" s="4"/>
      <c r="J13" s="4"/>
      <c r="K13" s="4"/>
      <c r="L13" s="4"/>
      <c r="M13" s="4"/>
      <c r="N13" s="4"/>
      <c r="O13" s="4"/>
      <c r="P13" s="4"/>
      <c r="Q13" s="4"/>
    </row>
    <row r="14" spans="1:17">
      <c r="A14" s="22">
        <v>450</v>
      </c>
      <c r="B14" s="23" t="s">
        <v>18</v>
      </c>
      <c r="C14" s="23">
        <v>675</v>
      </c>
      <c r="D14" s="23">
        <v>300</v>
      </c>
      <c r="E14" s="23">
        <v>481</v>
      </c>
      <c r="F14" s="23">
        <v>580</v>
      </c>
      <c r="G14" s="23">
        <v>689</v>
      </c>
      <c r="H14" s="24">
        <v>975</v>
      </c>
      <c r="I14" s="4"/>
      <c r="J14" s="4"/>
      <c r="K14" s="4"/>
      <c r="L14" s="4"/>
      <c r="M14" s="4"/>
      <c r="N14" s="4"/>
      <c r="O14" s="4"/>
      <c r="P14" s="4"/>
      <c r="Q14" s="4"/>
    </row>
    <row r="15" spans="1:17">
      <c r="A15" s="22">
        <v>500</v>
      </c>
      <c r="B15" s="23" t="s">
        <v>19</v>
      </c>
      <c r="C15" s="23">
        <v>750</v>
      </c>
      <c r="D15" s="23">
        <v>350</v>
      </c>
      <c r="E15" s="23">
        <v>551</v>
      </c>
      <c r="F15" s="23">
        <v>665</v>
      </c>
      <c r="G15" s="23">
        <v>783</v>
      </c>
      <c r="H15" s="24">
        <v>1100</v>
      </c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A16" s="22">
        <v>560</v>
      </c>
      <c r="B16" s="23" t="s">
        <v>20</v>
      </c>
      <c r="C16" s="23">
        <v>840</v>
      </c>
      <c r="D16" s="23">
        <v>350</v>
      </c>
      <c r="E16" s="23">
        <v>575</v>
      </c>
      <c r="F16" s="23">
        <v>698</v>
      </c>
      <c r="G16" s="23">
        <v>835</v>
      </c>
      <c r="H16" s="24">
        <v>1190</v>
      </c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22">
        <v>630</v>
      </c>
      <c r="B17" s="23" t="s">
        <v>21</v>
      </c>
      <c r="C17" s="23">
        <v>945</v>
      </c>
      <c r="D17" s="23">
        <v>350</v>
      </c>
      <c r="E17" s="23">
        <v>603</v>
      </c>
      <c r="F17" s="23">
        <v>741</v>
      </c>
      <c r="G17" s="23">
        <v>896</v>
      </c>
      <c r="H17" s="24">
        <v>1295</v>
      </c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22">
        <v>710</v>
      </c>
      <c r="B18" s="23" t="s">
        <v>22</v>
      </c>
      <c r="C18" s="23">
        <v>1065</v>
      </c>
      <c r="D18" s="23">
        <v>350</v>
      </c>
      <c r="E18" s="23">
        <v>636</v>
      </c>
      <c r="F18" s="23">
        <v>792</v>
      </c>
      <c r="G18" s="23">
        <v>965</v>
      </c>
      <c r="H18" s="24">
        <v>1415</v>
      </c>
      <c r="I18" s="4"/>
      <c r="J18" s="4"/>
      <c r="K18" s="4"/>
      <c r="L18" s="4"/>
      <c r="M18" s="4"/>
      <c r="N18" s="4"/>
      <c r="O18" s="4"/>
      <c r="P18" s="4"/>
      <c r="Q18" s="4"/>
    </row>
    <row r="19" spans="1:17">
      <c r="A19" s="22">
        <v>800</v>
      </c>
      <c r="B19" s="23" t="s">
        <v>23</v>
      </c>
      <c r="C19" s="23">
        <v>1200</v>
      </c>
      <c r="D19" s="23">
        <v>350</v>
      </c>
      <c r="E19" s="23">
        <v>672</v>
      </c>
      <c r="F19" s="23">
        <v>847</v>
      </c>
      <c r="G19" s="23">
        <v>1043</v>
      </c>
      <c r="H19" s="24">
        <v>1550</v>
      </c>
      <c r="I19" s="4"/>
      <c r="J19" s="4"/>
      <c r="K19" s="4"/>
      <c r="L19" s="4"/>
      <c r="M19" s="4"/>
      <c r="N19" s="4"/>
      <c r="O19" s="4"/>
      <c r="P19" s="4"/>
      <c r="Q19" s="4"/>
    </row>
    <row r="20" spans="1:17">
      <c r="A20" s="22">
        <v>900</v>
      </c>
      <c r="B20" s="23" t="s">
        <v>24</v>
      </c>
      <c r="C20" s="23">
        <v>1350</v>
      </c>
      <c r="D20" s="23">
        <v>400</v>
      </c>
      <c r="E20" s="23">
        <v>762</v>
      </c>
      <c r="F20" s="23">
        <v>960</v>
      </c>
      <c r="G20" s="23">
        <v>1179</v>
      </c>
      <c r="H20" s="24">
        <v>1750</v>
      </c>
      <c r="I20" s="4"/>
      <c r="J20" s="4"/>
      <c r="K20" s="4"/>
      <c r="L20" s="4"/>
      <c r="M20" s="4"/>
      <c r="N20" s="4"/>
      <c r="O20" s="4"/>
      <c r="P20" s="4"/>
      <c r="Q20" s="4"/>
    </row>
    <row r="21" spans="1:17">
      <c r="A21" s="22">
        <v>1000</v>
      </c>
      <c r="B21" s="23" t="s">
        <v>25</v>
      </c>
      <c r="C21" s="23">
        <v>1500</v>
      </c>
      <c r="D21" s="23">
        <v>400</v>
      </c>
      <c r="E21" s="23">
        <v>802</v>
      </c>
      <c r="F21" s="23">
        <v>1022</v>
      </c>
      <c r="G21" s="23">
        <v>1266</v>
      </c>
      <c r="H21" s="24">
        <v>1900</v>
      </c>
      <c r="I21" s="4"/>
      <c r="J21" s="4"/>
      <c r="K21" s="4"/>
      <c r="L21" s="4"/>
      <c r="M21" s="4"/>
      <c r="N21" s="4"/>
      <c r="O21" s="4"/>
      <c r="P21" s="4"/>
      <c r="Q21" s="4"/>
    </row>
    <row r="22" spans="1:17">
      <c r="A22" s="22">
        <v>1200</v>
      </c>
      <c r="B22" s="23" t="s">
        <v>26</v>
      </c>
      <c r="C22" s="23">
        <v>1800</v>
      </c>
      <c r="D22" s="23">
        <v>400</v>
      </c>
      <c r="E22" s="23">
        <v>882</v>
      </c>
      <c r="F22" s="23">
        <v>1146</v>
      </c>
      <c r="G22" s="23">
        <v>1439</v>
      </c>
      <c r="H22" s="24">
        <v>2200</v>
      </c>
      <c r="I22" s="4"/>
      <c r="J22" s="4"/>
      <c r="K22" s="4"/>
      <c r="L22" s="4"/>
      <c r="M22" s="4"/>
      <c r="N22" s="4"/>
      <c r="O22" s="4"/>
      <c r="P22" s="4"/>
      <c r="Q22" s="4"/>
    </row>
    <row r="23" spans="1:17">
      <c r="A23" s="22">
        <v>1400</v>
      </c>
      <c r="B23" s="23" t="s">
        <v>27</v>
      </c>
      <c r="C23" s="23">
        <v>2100</v>
      </c>
      <c r="D23" s="23">
        <v>400</v>
      </c>
      <c r="E23" s="23">
        <v>963</v>
      </c>
      <c r="F23" s="23">
        <v>1270</v>
      </c>
      <c r="G23" s="23">
        <v>1612</v>
      </c>
      <c r="H23" s="24">
        <v>2500</v>
      </c>
      <c r="I23" s="4"/>
      <c r="J23" s="4"/>
      <c r="K23" s="4"/>
      <c r="L23" s="4"/>
      <c r="M23" s="4"/>
      <c r="N23" s="4"/>
      <c r="O23" s="4"/>
      <c r="P23" s="4"/>
      <c r="Q23" s="4"/>
    </row>
    <row r="24" spans="1:17">
      <c r="A24" s="26">
        <v>1600</v>
      </c>
      <c r="B24" s="27" t="s">
        <v>28</v>
      </c>
      <c r="C24" s="27">
        <v>2400</v>
      </c>
      <c r="D24" s="27">
        <v>400</v>
      </c>
      <c r="E24" s="27">
        <v>1043</v>
      </c>
      <c r="F24" s="27">
        <v>1394</v>
      </c>
      <c r="G24" s="27">
        <v>1786</v>
      </c>
      <c r="H24" s="28">
        <v>2800</v>
      </c>
      <c r="I24" s="4"/>
      <c r="J24" s="4"/>
      <c r="K24" s="4"/>
      <c r="L24" s="4"/>
      <c r="M24" s="4"/>
      <c r="N24" s="4"/>
      <c r="O24" s="4"/>
      <c r="P24" s="4"/>
      <c r="Q24" s="4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"/>
  <sheetViews>
    <sheetView workbookViewId="0">
      <selection activeCell="C33" sqref="C33"/>
    </sheetView>
  </sheetViews>
  <sheetFormatPr baseColWidth="10" defaultColWidth="9" defaultRowHeight="14.25"/>
  <cols>
    <col min="1" max="8" width="12" customWidth="1"/>
    <col min="10" max="10" width="11.5" bestFit="1" customWidth="1"/>
    <col min="11" max="11" width="4.875" bestFit="1" customWidth="1"/>
  </cols>
  <sheetData>
    <row r="1" spans="1:17" ht="15">
      <c r="A1" s="1" t="s">
        <v>0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3" t="s">
        <v>35</v>
      </c>
      <c r="I1" s="4"/>
      <c r="J1" s="32" t="s">
        <v>36</v>
      </c>
      <c r="K1" s="33"/>
      <c r="L1" s="4"/>
    </row>
    <row r="2" spans="1:17">
      <c r="A2" s="22">
        <v>110</v>
      </c>
      <c r="B2" s="23">
        <v>2.7</v>
      </c>
      <c r="C2" s="23">
        <v>4</v>
      </c>
      <c r="D2" s="23">
        <v>5.3</v>
      </c>
      <c r="E2" s="23">
        <v>6.6</v>
      </c>
      <c r="F2" s="23">
        <v>8.1</v>
      </c>
      <c r="G2" s="23">
        <v>10</v>
      </c>
      <c r="H2" s="24">
        <v>12.3</v>
      </c>
      <c r="I2" s="4"/>
      <c r="J2" s="29" t="s">
        <v>29</v>
      </c>
      <c r="K2" s="24">
        <v>41</v>
      </c>
      <c r="L2" s="4"/>
    </row>
    <row r="3" spans="1:17">
      <c r="A3" s="22">
        <v>125</v>
      </c>
      <c r="B3" s="23">
        <v>3.1</v>
      </c>
      <c r="C3" s="23">
        <v>4.5999999999999996</v>
      </c>
      <c r="D3" s="23">
        <v>6</v>
      </c>
      <c r="E3" s="23">
        <v>7.4</v>
      </c>
      <c r="F3" s="23">
        <v>9.1999999999999993</v>
      </c>
      <c r="G3" s="23">
        <v>11.4</v>
      </c>
      <c r="H3" s="24">
        <v>14</v>
      </c>
      <c r="I3" s="4"/>
      <c r="J3" s="29" t="s">
        <v>30</v>
      </c>
      <c r="K3" s="24">
        <v>27.6</v>
      </c>
      <c r="L3" s="4"/>
      <c r="M3" s="4"/>
      <c r="N3" s="4"/>
      <c r="O3" s="4"/>
      <c r="P3" s="4"/>
      <c r="Q3" s="4"/>
    </row>
    <row r="4" spans="1:17">
      <c r="A4" s="22">
        <v>140</v>
      </c>
      <c r="B4" s="23">
        <v>3.5</v>
      </c>
      <c r="C4" s="23">
        <v>5.0999999999999996</v>
      </c>
      <c r="D4" s="23">
        <v>6.7</v>
      </c>
      <c r="E4" s="23">
        <v>8.3000000000000007</v>
      </c>
      <c r="F4" s="23">
        <v>10.3</v>
      </c>
      <c r="G4" s="23">
        <v>12.7</v>
      </c>
      <c r="H4" s="24">
        <v>15.7</v>
      </c>
      <c r="I4" s="4"/>
      <c r="J4" s="29" t="s">
        <v>31</v>
      </c>
      <c r="K4" s="24">
        <v>21</v>
      </c>
      <c r="L4" s="4"/>
      <c r="M4" s="4"/>
      <c r="N4" s="4"/>
      <c r="O4" s="4"/>
      <c r="P4" s="4"/>
      <c r="Q4" s="4"/>
    </row>
    <row r="5" spans="1:17">
      <c r="A5" s="22">
        <v>160</v>
      </c>
      <c r="B5" s="23">
        <v>4</v>
      </c>
      <c r="C5" s="23">
        <v>5.8</v>
      </c>
      <c r="D5" s="23">
        <v>7.7</v>
      </c>
      <c r="E5" s="23">
        <v>9.5</v>
      </c>
      <c r="F5" s="23">
        <v>11.8</v>
      </c>
      <c r="G5" s="23">
        <v>14.6</v>
      </c>
      <c r="H5" s="24">
        <v>17.899999999999999</v>
      </c>
      <c r="I5" s="4"/>
      <c r="J5" s="29" t="s">
        <v>32</v>
      </c>
      <c r="K5" s="24">
        <v>17</v>
      </c>
      <c r="L5" s="4"/>
      <c r="M5" s="4"/>
      <c r="N5" s="4"/>
      <c r="O5" s="4"/>
      <c r="P5" s="4"/>
      <c r="Q5" s="4"/>
    </row>
    <row r="6" spans="1:17">
      <c r="A6" s="22">
        <v>180</v>
      </c>
      <c r="B6" s="23">
        <v>4.4000000000000004</v>
      </c>
      <c r="C6" s="23">
        <v>6.6</v>
      </c>
      <c r="D6" s="23">
        <v>8.6</v>
      </c>
      <c r="E6" s="23">
        <v>10.7</v>
      </c>
      <c r="F6" s="23">
        <v>13.3</v>
      </c>
      <c r="G6" s="23">
        <v>16.399999999999999</v>
      </c>
      <c r="H6" s="24">
        <v>20.100000000000001</v>
      </c>
      <c r="I6" s="4"/>
      <c r="J6" s="29" t="s">
        <v>33</v>
      </c>
      <c r="K6" s="24">
        <v>13.6</v>
      </c>
      <c r="L6" s="4"/>
      <c r="M6" s="4"/>
      <c r="N6" s="4"/>
      <c r="O6" s="4"/>
      <c r="P6" s="4"/>
      <c r="Q6" s="4"/>
    </row>
    <row r="7" spans="1:17">
      <c r="A7" s="22">
        <v>200</v>
      </c>
      <c r="B7" s="23">
        <v>4.9000000000000004</v>
      </c>
      <c r="C7" s="23">
        <v>7.3</v>
      </c>
      <c r="D7" s="23">
        <v>9.6</v>
      </c>
      <c r="E7" s="23">
        <v>11.9</v>
      </c>
      <c r="F7" s="23">
        <v>14.7</v>
      </c>
      <c r="G7" s="23">
        <v>18.2</v>
      </c>
      <c r="H7" s="24">
        <v>22.4</v>
      </c>
      <c r="I7" s="4"/>
      <c r="J7" s="29" t="s">
        <v>34</v>
      </c>
      <c r="K7" s="24">
        <v>11</v>
      </c>
      <c r="L7" s="4"/>
      <c r="M7" s="4"/>
      <c r="N7" s="4"/>
      <c r="O7" s="4"/>
      <c r="P7" s="4"/>
      <c r="Q7" s="4"/>
    </row>
    <row r="8" spans="1:17">
      <c r="A8" s="22">
        <v>225</v>
      </c>
      <c r="B8" s="23">
        <v>5.5</v>
      </c>
      <c r="C8" s="23">
        <v>8.1999999999999993</v>
      </c>
      <c r="D8" s="23">
        <v>10.8</v>
      </c>
      <c r="E8" s="23">
        <v>13.4</v>
      </c>
      <c r="F8" s="23">
        <v>16.600000000000001</v>
      </c>
      <c r="G8" s="23">
        <v>20.5</v>
      </c>
      <c r="H8" s="24">
        <v>25.2</v>
      </c>
      <c r="I8" s="4"/>
      <c r="J8" s="30" t="s">
        <v>35</v>
      </c>
      <c r="K8" s="28">
        <v>9</v>
      </c>
      <c r="L8" s="4"/>
      <c r="M8" s="4"/>
      <c r="N8" s="4"/>
      <c r="O8" s="4"/>
      <c r="P8" s="4"/>
      <c r="Q8" s="4"/>
    </row>
    <row r="9" spans="1:17">
      <c r="A9" s="22">
        <v>250</v>
      </c>
      <c r="B9" s="23">
        <v>6.2</v>
      </c>
      <c r="C9" s="23">
        <v>9.1</v>
      </c>
      <c r="D9" s="23">
        <v>11.9</v>
      </c>
      <c r="E9" s="23">
        <v>14.8</v>
      </c>
      <c r="F9" s="23">
        <v>18.399999999999999</v>
      </c>
      <c r="G9" s="23">
        <v>22.7</v>
      </c>
      <c r="H9" s="24">
        <v>27.9</v>
      </c>
      <c r="I9" s="4"/>
      <c r="J9" s="4"/>
      <c r="K9" s="4"/>
      <c r="L9" s="4"/>
      <c r="M9" s="4"/>
      <c r="N9" s="4"/>
      <c r="O9" s="4"/>
      <c r="P9" s="4"/>
      <c r="Q9" s="4"/>
    </row>
    <row r="10" spans="1:17">
      <c r="A10" s="22">
        <v>280</v>
      </c>
      <c r="B10" s="23">
        <v>6.9</v>
      </c>
      <c r="C10" s="23">
        <v>10.199999999999999</v>
      </c>
      <c r="D10" s="23">
        <v>13.4</v>
      </c>
      <c r="E10" s="23">
        <v>16.600000000000001</v>
      </c>
      <c r="F10" s="23">
        <v>20.6</v>
      </c>
      <c r="G10" s="23">
        <v>25.4</v>
      </c>
      <c r="H10" s="24">
        <v>31.3</v>
      </c>
      <c r="I10" s="4"/>
      <c r="J10" s="4"/>
      <c r="K10" s="4"/>
      <c r="L10" s="4"/>
      <c r="M10" s="4"/>
      <c r="N10" s="4"/>
      <c r="O10" s="4"/>
      <c r="P10" s="4"/>
      <c r="Q10" s="4"/>
    </row>
    <row r="11" spans="1:17">
      <c r="A11" s="22">
        <v>315</v>
      </c>
      <c r="B11" s="23">
        <v>7.7</v>
      </c>
      <c r="C11" s="23">
        <v>11.4</v>
      </c>
      <c r="D11" s="23">
        <v>15</v>
      </c>
      <c r="E11" s="23">
        <v>18.7</v>
      </c>
      <c r="F11" s="23">
        <v>23.2</v>
      </c>
      <c r="G11" s="23">
        <v>28.6</v>
      </c>
      <c r="H11" s="24">
        <v>35.200000000000003</v>
      </c>
      <c r="I11" s="4"/>
      <c r="J11" s="4"/>
      <c r="K11" s="4"/>
      <c r="L11" s="4"/>
      <c r="M11" s="4"/>
      <c r="N11" s="4"/>
      <c r="O11" s="4"/>
      <c r="P11" s="4"/>
      <c r="Q11" s="4"/>
    </row>
    <row r="12" spans="1:17">
      <c r="A12" s="22">
        <v>355</v>
      </c>
      <c r="B12" s="23">
        <v>8.6999999999999993</v>
      </c>
      <c r="C12" s="23">
        <v>12.9</v>
      </c>
      <c r="D12" s="23">
        <v>16.899999999999999</v>
      </c>
      <c r="E12" s="23">
        <v>21.1</v>
      </c>
      <c r="F12" s="23">
        <v>26.1</v>
      </c>
      <c r="G12" s="23">
        <v>32.200000000000003</v>
      </c>
      <c r="H12" s="24">
        <v>39.700000000000003</v>
      </c>
      <c r="I12" s="4"/>
      <c r="J12" s="4"/>
      <c r="K12" s="4"/>
      <c r="L12" s="4"/>
      <c r="M12" s="4"/>
      <c r="N12" s="4"/>
      <c r="O12" s="4"/>
      <c r="P12" s="4"/>
      <c r="Q12" s="4"/>
    </row>
    <row r="13" spans="1:17">
      <c r="A13" s="22">
        <v>400</v>
      </c>
      <c r="B13" s="23">
        <v>9.8000000000000007</v>
      </c>
      <c r="C13" s="23">
        <v>14.5</v>
      </c>
      <c r="D13" s="23">
        <v>19.100000000000001</v>
      </c>
      <c r="E13" s="23">
        <v>23.7</v>
      </c>
      <c r="F13" s="23">
        <v>29.4</v>
      </c>
      <c r="G13" s="23">
        <v>36.299999999999997</v>
      </c>
      <c r="H13" s="24">
        <v>44.7</v>
      </c>
      <c r="I13" s="4"/>
      <c r="J13" s="4"/>
      <c r="K13" s="4"/>
      <c r="L13" s="4"/>
      <c r="M13" s="4"/>
      <c r="N13" s="4"/>
      <c r="O13" s="4"/>
      <c r="P13" s="4"/>
      <c r="Q13" s="4"/>
    </row>
    <row r="14" spans="1:17">
      <c r="A14" s="22">
        <v>450</v>
      </c>
      <c r="B14" s="23">
        <v>11</v>
      </c>
      <c r="C14" s="23">
        <v>16.3</v>
      </c>
      <c r="D14" s="23">
        <v>21.5</v>
      </c>
      <c r="E14" s="23">
        <v>26.7</v>
      </c>
      <c r="F14" s="23">
        <v>33.1</v>
      </c>
      <c r="G14" s="23">
        <v>40.9</v>
      </c>
      <c r="H14" s="24">
        <v>50.3</v>
      </c>
      <c r="I14" s="4"/>
      <c r="J14" s="4"/>
      <c r="K14" s="4"/>
      <c r="L14" s="4"/>
      <c r="M14" s="4"/>
      <c r="N14" s="4"/>
      <c r="O14" s="4"/>
      <c r="P14" s="4"/>
      <c r="Q14" s="4"/>
    </row>
    <row r="15" spans="1:17">
      <c r="A15" s="22">
        <v>500</v>
      </c>
      <c r="B15" s="23">
        <v>12.3</v>
      </c>
      <c r="C15" s="23">
        <v>18.100000000000001</v>
      </c>
      <c r="D15" s="23">
        <v>23.9</v>
      </c>
      <c r="E15" s="23">
        <v>29.7</v>
      </c>
      <c r="F15" s="23">
        <v>36.799999999999997</v>
      </c>
      <c r="G15" s="23">
        <v>45.4</v>
      </c>
      <c r="H15" s="24">
        <v>55.8</v>
      </c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A16" s="22">
        <v>560</v>
      </c>
      <c r="B16" s="23">
        <v>13.7</v>
      </c>
      <c r="C16" s="23">
        <v>20.3</v>
      </c>
      <c r="D16" s="23">
        <v>26.7</v>
      </c>
      <c r="E16" s="23">
        <v>33.200000000000003</v>
      </c>
      <c r="F16" s="23">
        <v>41.2</v>
      </c>
      <c r="G16" s="23">
        <v>50.8</v>
      </c>
      <c r="H16" s="24" t="s">
        <v>37</v>
      </c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22">
        <v>630</v>
      </c>
      <c r="B17" s="23">
        <v>15.4</v>
      </c>
      <c r="C17" s="23">
        <v>22.8</v>
      </c>
      <c r="D17" s="23">
        <v>30</v>
      </c>
      <c r="E17" s="23">
        <v>37.4</v>
      </c>
      <c r="F17" s="23">
        <v>46.2</v>
      </c>
      <c r="G17" s="23">
        <v>57.2</v>
      </c>
      <c r="H17" s="24" t="s">
        <v>37</v>
      </c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22">
        <v>710</v>
      </c>
      <c r="B18" s="23">
        <v>17.399999999999999</v>
      </c>
      <c r="C18" s="23">
        <v>25.7</v>
      </c>
      <c r="D18" s="23">
        <v>33.9</v>
      </c>
      <c r="E18" s="23">
        <v>42.1</v>
      </c>
      <c r="F18" s="23">
        <v>52.2</v>
      </c>
      <c r="G18" s="23" t="s">
        <v>37</v>
      </c>
      <c r="H18" s="24" t="s">
        <v>37</v>
      </c>
      <c r="I18" s="4"/>
      <c r="J18" s="4"/>
      <c r="K18" s="4"/>
      <c r="L18" s="4"/>
      <c r="M18" s="4"/>
      <c r="N18" s="4"/>
      <c r="O18" s="4"/>
      <c r="P18" s="4"/>
      <c r="Q18" s="4"/>
    </row>
    <row r="19" spans="1:17">
      <c r="A19" s="22">
        <v>800</v>
      </c>
      <c r="B19" s="23">
        <v>19.600000000000001</v>
      </c>
      <c r="C19" s="23">
        <v>29</v>
      </c>
      <c r="D19" s="23">
        <v>38.1</v>
      </c>
      <c r="E19" s="23">
        <v>47.4</v>
      </c>
      <c r="F19" s="23">
        <v>58.8</v>
      </c>
      <c r="G19" s="23" t="s">
        <v>37</v>
      </c>
      <c r="H19" s="24" t="s">
        <v>37</v>
      </c>
      <c r="I19" s="4"/>
      <c r="J19" s="4"/>
      <c r="K19" s="4"/>
      <c r="L19" s="4"/>
      <c r="M19" s="4"/>
      <c r="N19" s="4"/>
      <c r="O19" s="4"/>
      <c r="P19" s="4"/>
      <c r="Q19" s="4"/>
    </row>
    <row r="20" spans="1:17">
      <c r="A20" s="22">
        <v>900</v>
      </c>
      <c r="B20" s="23">
        <v>22</v>
      </c>
      <c r="C20" s="23">
        <v>32.6</v>
      </c>
      <c r="D20" s="23">
        <v>42.9</v>
      </c>
      <c r="E20" s="23">
        <v>53.3</v>
      </c>
      <c r="F20" s="23" t="s">
        <v>37</v>
      </c>
      <c r="G20" s="23" t="s">
        <v>37</v>
      </c>
      <c r="H20" s="24" t="s">
        <v>37</v>
      </c>
      <c r="I20" s="4"/>
      <c r="J20" s="4"/>
      <c r="K20" s="4"/>
      <c r="L20" s="4"/>
      <c r="M20" s="4"/>
      <c r="N20" s="4"/>
      <c r="O20" s="4"/>
      <c r="P20" s="4"/>
      <c r="Q20" s="4"/>
    </row>
    <row r="21" spans="1:17">
      <c r="A21" s="22">
        <v>1000</v>
      </c>
      <c r="B21" s="23">
        <v>24.5</v>
      </c>
      <c r="C21" s="23">
        <v>36.200000000000003</v>
      </c>
      <c r="D21" s="23">
        <v>47.7</v>
      </c>
      <c r="E21" s="23">
        <v>59.3</v>
      </c>
      <c r="F21" s="23" t="s">
        <v>37</v>
      </c>
      <c r="G21" s="23" t="s">
        <v>37</v>
      </c>
      <c r="H21" s="24" t="s">
        <v>37</v>
      </c>
      <c r="I21" s="4"/>
      <c r="J21" s="4"/>
      <c r="K21" s="4"/>
      <c r="L21" s="4"/>
      <c r="M21" s="4"/>
      <c r="N21" s="4"/>
      <c r="O21" s="4"/>
      <c r="P21" s="4"/>
      <c r="Q21" s="4"/>
    </row>
    <row r="22" spans="1:17">
      <c r="A22" s="22">
        <v>1200</v>
      </c>
      <c r="B22" s="23">
        <v>29.4</v>
      </c>
      <c r="C22" s="23">
        <v>43.4</v>
      </c>
      <c r="D22" s="23">
        <v>57.2</v>
      </c>
      <c r="E22" s="23" t="s">
        <v>37</v>
      </c>
      <c r="F22" s="23" t="s">
        <v>37</v>
      </c>
      <c r="G22" s="23" t="s">
        <v>37</v>
      </c>
      <c r="H22" s="24" t="s">
        <v>37</v>
      </c>
      <c r="I22" s="4"/>
      <c r="J22" s="4"/>
      <c r="K22" s="4"/>
      <c r="L22" s="4"/>
      <c r="M22" s="4"/>
      <c r="N22" s="4"/>
      <c r="O22" s="4"/>
      <c r="P22" s="4"/>
      <c r="Q22" s="4"/>
    </row>
    <row r="23" spans="1:17">
      <c r="A23" s="22">
        <v>1400</v>
      </c>
      <c r="B23" s="23">
        <v>34.299999999999997</v>
      </c>
      <c r="C23" s="23">
        <v>50.6</v>
      </c>
      <c r="D23" s="23" t="s">
        <v>37</v>
      </c>
      <c r="E23" s="23" t="s">
        <v>37</v>
      </c>
      <c r="F23" s="23" t="s">
        <v>37</v>
      </c>
      <c r="G23" s="23" t="s">
        <v>37</v>
      </c>
      <c r="H23" s="24" t="s">
        <v>37</v>
      </c>
      <c r="I23" s="4"/>
      <c r="J23" s="4"/>
      <c r="K23" s="4"/>
      <c r="L23" s="4"/>
      <c r="M23" s="4"/>
      <c r="N23" s="4"/>
      <c r="O23" s="4"/>
      <c r="P23" s="4"/>
      <c r="Q23" s="4"/>
    </row>
    <row r="24" spans="1:17">
      <c r="A24" s="26">
        <v>1600</v>
      </c>
      <c r="B24" s="27">
        <v>39.200000000000003</v>
      </c>
      <c r="C24" s="27">
        <v>57.9</v>
      </c>
      <c r="D24" s="27" t="s">
        <v>37</v>
      </c>
      <c r="E24" s="27" t="s">
        <v>37</v>
      </c>
      <c r="F24" s="27" t="s">
        <v>37</v>
      </c>
      <c r="G24" s="27" t="s">
        <v>37</v>
      </c>
      <c r="H24" s="28" t="s">
        <v>37</v>
      </c>
      <c r="I24" s="4"/>
      <c r="J24" s="4"/>
      <c r="K24" s="4"/>
      <c r="L24" s="4"/>
      <c r="M24" s="4"/>
      <c r="N24" s="4"/>
      <c r="O24" s="4"/>
      <c r="P24" s="4"/>
      <c r="Q24" s="4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</sheetData>
  <mergeCells count="1"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"/>
  <sheetViews>
    <sheetView tabSelected="1" topLeftCell="C1" workbookViewId="0">
      <selection activeCell="F15" sqref="F15"/>
    </sheetView>
  </sheetViews>
  <sheetFormatPr baseColWidth="10" defaultColWidth="9" defaultRowHeight="14.25"/>
  <cols>
    <col min="2" max="2" width="24" customWidth="1"/>
    <col min="3" max="3" width="22" customWidth="1"/>
    <col min="4" max="4" width="12" customWidth="1"/>
    <col min="5" max="6" width="18" customWidth="1"/>
  </cols>
  <sheetData>
    <row r="1" spans="1:17" ht="20.100000000000001" customHeight="1">
      <c r="A1" s="4"/>
      <c r="B1" s="31" t="s">
        <v>38</v>
      </c>
      <c r="C1" s="31"/>
      <c r="D1" s="31"/>
      <c r="E1" s="31"/>
      <c r="F1" s="31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20.100000000000001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0.100000000000001" customHeight="1">
      <c r="A3" s="4"/>
      <c r="B3" s="1" t="s">
        <v>39</v>
      </c>
      <c r="C3" s="3" t="s">
        <v>40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0.100000000000001" customHeight="1">
      <c r="A4" s="4"/>
      <c r="B4" s="5" t="s">
        <v>41</v>
      </c>
      <c r="C4" s="6" t="s">
        <v>42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20.100000000000001" customHeight="1">
      <c r="A5" s="4"/>
      <c r="B5" s="7" t="s">
        <v>43</v>
      </c>
      <c r="C5" s="8" t="s">
        <v>32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20.100000000000001" customHeight="1">
      <c r="A6" s="4"/>
      <c r="B6" s="9" t="s">
        <v>44</v>
      </c>
      <c r="C6" s="10">
        <v>110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20.10000000000000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20.100000000000001" customHeight="1">
      <c r="A8" s="4"/>
      <c r="B8" s="31" t="s">
        <v>45</v>
      </c>
      <c r="C8" s="31"/>
      <c r="D8" s="3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20.100000000000001" customHeight="1">
      <c r="A9" s="4"/>
      <c r="B9" s="11" t="s">
        <v>46</v>
      </c>
      <c r="C9" s="12">
        <f>C6</f>
        <v>110</v>
      </c>
      <c r="D9" s="13" t="s">
        <v>47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20.100000000000001" customHeight="1">
      <c r="A10" s="4"/>
      <c r="B10" s="14" t="s">
        <v>48</v>
      </c>
      <c r="C10" s="15" t="str">
        <f>VLOOKUP(C6,BD_Codos!$A$2:$H$24,2,FALSE)</f>
        <v>4"</v>
      </c>
      <c r="D10" s="1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20.100000000000001" customHeight="1">
      <c r="A11" s="4"/>
      <c r="B11" s="14" t="s">
        <v>49</v>
      </c>
      <c r="C11" s="15">
        <f>VLOOKUP(C6,BD_Codos!$A$2:$H$24,3,FALSE)</f>
        <v>165</v>
      </c>
      <c r="D11" s="16" t="s">
        <v>47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20.100000000000001" customHeight="1">
      <c r="A12" s="4"/>
      <c r="B12" s="14" t="s">
        <v>50</v>
      </c>
      <c r="C12" s="15">
        <f>VLOOKUP(C6,BD_Codos!$A$2:$H$24,4,FALSE)</f>
        <v>150</v>
      </c>
      <c r="D12" s="16" t="s">
        <v>47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20.100000000000001" customHeight="1">
      <c r="A13" s="4"/>
      <c r="B13" s="14" t="s">
        <v>51</v>
      </c>
      <c r="C13" s="15">
        <f>IF(C4="30°",VLOOKUP(C6,BD_Codos!$A$2:$H$24,5,FALSE),IF(C4="45°",VLOOKUP(C6,BD_Codos!$A$2:$H$24,6,FALSE),IF(C4="60°",VLOOKUP(C6,BD_Codos!$A$2:$H$24,7,FALSE),VLOOKUP(C6,BD_Codos!$A$2:$H$24,8,FALSE))))</f>
        <v>315</v>
      </c>
      <c r="D13" s="16" t="s">
        <v>47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20.100000000000001" customHeight="1">
      <c r="A14" s="4"/>
      <c r="B14" s="14" t="s">
        <v>52</v>
      </c>
      <c r="C14" s="15">
        <f>IF(C5="PN4",VLOOKUP(C6,BD_PN!$A$2:$H$24,2,FALSE),IF(C5="PN6",VLOOKUP(C6,BD_PN!$A$2:$H$24,3,FALSE),IF(C5="PN8",VLOOKUP(C6,BD_PN!$A$2:$H$24,4,FALSE),IF(C5="PN10",VLOOKUP(C6,BD_PN!$A$2:$H$24,5,FALSE),IF(C5="PN12,5",VLOOKUP(C6,BD_PN!$A$2:$H$24,6,FALSE),IF(C5="PN16",VLOOKUP(C6,BD_PN!$A$2:$H$24,7,FALSE),VLOOKUP(C6,BD_PN!$A$2:$H$24,8,FALSE)))))))</f>
        <v>6.6</v>
      </c>
      <c r="D14" s="16" t="s">
        <v>47</v>
      </c>
      <c r="E14" s="4"/>
      <c r="F14" s="4">
        <f>165*2</f>
        <v>330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20.100000000000001" customHeight="1">
      <c r="A15" s="4"/>
      <c r="B15" s="14" t="s">
        <v>53</v>
      </c>
      <c r="C15" s="15">
        <f>IF(C5="PN4",41,IF(C5="PN6",27.6,IF(C5="PN8",21,IF(C5="PN10",17,IF(C5="PN12,5",13.6,IF(C5="PN16",11,9))))))</f>
        <v>17</v>
      </c>
      <c r="D15" s="1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20.100000000000001" customHeight="1">
      <c r="A16" s="4"/>
      <c r="B16" s="14" t="s">
        <v>54</v>
      </c>
      <c r="C16" s="15">
        <f>IF(ISNUMBER(C14),C9-2*C14,"N/D")</f>
        <v>96.8</v>
      </c>
      <c r="D16" s="16" t="s">
        <v>47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20.100000000000001" customHeight="1">
      <c r="A17" s="4"/>
      <c r="B17" s="14" t="s">
        <v>55</v>
      </c>
      <c r="C17" s="15" t="str">
        <f>IF(C4="90°","15° - 30° - 30° - 15°",IF(C4="60°","15° - 30° - 15°",IF(C4="45°","11,25° - 22,5° - 11,25°","Giro total 30° según esquema")))</f>
        <v>15° - 30° - 30° - 15°</v>
      </c>
      <c r="D17" s="1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20.100000000000001" customHeight="1">
      <c r="A18" s="4"/>
      <c r="B18" s="17" t="s">
        <v>56</v>
      </c>
      <c r="C18" s="18" t="str">
        <f>IF(ISNUMBER(C14),"DISPONIBLE","NO INDICADO EN TABLA")</f>
        <v>DISPONIBLE</v>
      </c>
      <c r="D18" s="1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20.100000000000001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20.100000000000001" customHeight="1">
      <c r="A20" s="4"/>
      <c r="B20" s="46" t="s">
        <v>57</v>
      </c>
      <c r="C20" s="46"/>
      <c r="D20" s="46"/>
      <c r="E20" s="46"/>
      <c r="F20" s="4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42.75" customHeight="1">
      <c r="A21" s="4"/>
      <c r="B21" s="47" t="s">
        <v>58</v>
      </c>
      <c r="C21" s="34" t="s">
        <v>59</v>
      </c>
      <c r="D21" s="34"/>
      <c r="E21" s="34"/>
      <c r="F21" s="3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28.5" customHeight="1">
      <c r="A22" s="4"/>
      <c r="B22" s="48" t="s">
        <v>60</v>
      </c>
      <c r="C22" s="36" t="s">
        <v>61</v>
      </c>
      <c r="D22" s="36"/>
      <c r="E22" s="36"/>
      <c r="F22" s="3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28.5" customHeight="1">
      <c r="A23" s="4"/>
      <c r="B23" s="48" t="s">
        <v>62</v>
      </c>
      <c r="C23" s="36" t="s">
        <v>63</v>
      </c>
      <c r="D23" s="36"/>
      <c r="E23" s="36"/>
      <c r="F23" s="3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28.5" customHeight="1">
      <c r="A24" s="4"/>
      <c r="B24" s="48" t="s">
        <v>64</v>
      </c>
      <c r="C24" s="36" t="s">
        <v>65</v>
      </c>
      <c r="D24" s="36"/>
      <c r="E24" s="36"/>
      <c r="F24" s="3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42.75" customHeight="1">
      <c r="A25" s="4"/>
      <c r="B25" s="49" t="s">
        <v>66</v>
      </c>
      <c r="C25" s="50" t="s">
        <v>67</v>
      </c>
      <c r="D25" s="50"/>
      <c r="E25" s="50"/>
      <c r="F25" s="5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4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</sheetData>
  <mergeCells count="8">
    <mergeCell ref="C25:F25"/>
    <mergeCell ref="C24:F24"/>
    <mergeCell ref="C23:F23"/>
    <mergeCell ref="B1:F1"/>
    <mergeCell ref="B8:D8"/>
    <mergeCell ref="B20:F20"/>
    <mergeCell ref="C21:F21"/>
    <mergeCell ref="C22:F22"/>
  </mergeCells>
  <conditionalFormatting sqref="C18">
    <cfRule type="expression" dxfId="1" priority="1">
      <formula>C18="DISPONIBLE"</formula>
    </cfRule>
    <cfRule type="expression" dxfId="0" priority="2">
      <formula>C18&lt;&gt;"DISPONIBLE"</formula>
    </cfRule>
  </conditionalFormatting>
  <dataValidations count="3">
    <dataValidation type="list" sqref="C4" xr:uid="{00000000-0002-0000-0200-000000000000}">
      <formula1>"30°,45°,60°,90°"</formula1>
    </dataValidation>
    <dataValidation type="list" sqref="C5" xr:uid="{00000000-0002-0000-0200-000001000000}">
      <formula1>"PN4,PN6,PN8,PN10,PN12,5,PN16,PN20"</formula1>
    </dataValidation>
    <dataValidation type="list" sqref="C6" xr:uid="{00000000-0002-0000-0200-000002000000}">
      <formula1>"110,125,140,160,180,200,225,250,280,315,355,400,450,500,560,630,710,800,900,1000,1200,1400,1600"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0"/>
  <sheetViews>
    <sheetView topLeftCell="A3" workbookViewId="0">
      <selection activeCell="C11" sqref="C11:D11"/>
    </sheetView>
  </sheetViews>
  <sheetFormatPr baseColWidth="10" defaultColWidth="9" defaultRowHeight="14.25"/>
  <cols>
    <col min="2" max="2" width="20" customWidth="1"/>
    <col min="3" max="4" width="18" customWidth="1"/>
    <col min="6" max="6" width="12" customWidth="1"/>
    <col min="7" max="17" width="11" customWidth="1"/>
  </cols>
  <sheetData>
    <row r="1" spans="1:17" ht="20.100000000000001" customHeight="1">
      <c r="A1" s="4"/>
      <c r="B1" s="31" t="s">
        <v>68</v>
      </c>
      <c r="C1" s="31"/>
      <c r="D1" s="31"/>
      <c r="E1" s="3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20.100000000000001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0.100000000000001" customHeight="1">
      <c r="A3" s="4"/>
      <c r="B3" s="1" t="s">
        <v>39</v>
      </c>
      <c r="C3" s="40" t="s">
        <v>69</v>
      </c>
      <c r="D3" s="41"/>
      <c r="E3" s="4"/>
      <c r="F3" s="1" t="s">
        <v>1</v>
      </c>
      <c r="G3" s="2" t="s">
        <v>0</v>
      </c>
      <c r="H3" s="2" t="s">
        <v>70</v>
      </c>
      <c r="I3" s="2" t="s">
        <v>71</v>
      </c>
      <c r="J3" s="2" t="s">
        <v>72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3" t="s">
        <v>35</v>
      </c>
    </row>
    <row r="4" spans="1:17" ht="20.100000000000001" customHeight="1">
      <c r="A4" s="4"/>
      <c r="B4" s="20" t="s">
        <v>73</v>
      </c>
      <c r="C4" s="21" t="s">
        <v>32</v>
      </c>
      <c r="D4" s="16"/>
      <c r="E4" s="4"/>
      <c r="F4" s="22" t="s">
        <v>9</v>
      </c>
      <c r="G4" s="23">
        <v>110</v>
      </c>
      <c r="H4" s="23">
        <v>165</v>
      </c>
      <c r="I4" s="23">
        <v>150</v>
      </c>
      <c r="J4" s="23">
        <v>194</v>
      </c>
      <c r="K4" s="23">
        <v>2.7</v>
      </c>
      <c r="L4" s="23">
        <v>4</v>
      </c>
      <c r="M4" s="23">
        <v>5.3</v>
      </c>
      <c r="N4" s="23">
        <v>6.6</v>
      </c>
      <c r="O4" s="23">
        <v>8.1</v>
      </c>
      <c r="P4" s="23">
        <v>10</v>
      </c>
      <c r="Q4" s="24">
        <v>12.3</v>
      </c>
    </row>
    <row r="5" spans="1:17" ht="20.100000000000001" customHeight="1">
      <c r="A5" s="4"/>
      <c r="B5" s="20" t="s">
        <v>74</v>
      </c>
      <c r="C5" s="21">
        <v>110</v>
      </c>
      <c r="D5" s="16" t="s">
        <v>47</v>
      </c>
      <c r="E5" s="4"/>
      <c r="F5" s="22" t="s">
        <v>10</v>
      </c>
      <c r="G5" s="23">
        <v>125</v>
      </c>
      <c r="H5" s="23">
        <v>188</v>
      </c>
      <c r="I5" s="23">
        <v>150</v>
      </c>
      <c r="J5" s="23">
        <v>200</v>
      </c>
      <c r="K5" s="23">
        <v>3.1</v>
      </c>
      <c r="L5" s="23">
        <v>4.5999999999999996</v>
      </c>
      <c r="M5" s="23">
        <v>6</v>
      </c>
      <c r="N5" s="23">
        <v>7.4</v>
      </c>
      <c r="O5" s="23">
        <v>9.1999999999999993</v>
      </c>
      <c r="P5" s="23">
        <v>11.4</v>
      </c>
      <c r="Q5" s="24">
        <v>14</v>
      </c>
    </row>
    <row r="6" spans="1:17" ht="20.100000000000001" customHeight="1">
      <c r="A6" s="4"/>
      <c r="B6" s="20" t="s">
        <v>70</v>
      </c>
      <c r="C6" s="15">
        <f>VLOOKUP(C5,$G$4:$Q$26,2,FALSE)</f>
        <v>165</v>
      </c>
      <c r="D6" s="16" t="s">
        <v>47</v>
      </c>
      <c r="E6" s="4"/>
      <c r="F6" s="22" t="s">
        <v>11</v>
      </c>
      <c r="G6" s="23">
        <v>140</v>
      </c>
      <c r="H6" s="23">
        <v>210</v>
      </c>
      <c r="I6" s="23">
        <v>150</v>
      </c>
      <c r="J6" s="23">
        <v>206</v>
      </c>
      <c r="K6" s="23">
        <v>3.5</v>
      </c>
      <c r="L6" s="23">
        <v>5.0999999999999996</v>
      </c>
      <c r="M6" s="23">
        <v>6.7</v>
      </c>
      <c r="N6" s="23">
        <v>8.3000000000000007</v>
      </c>
      <c r="O6" s="23">
        <v>10.3</v>
      </c>
      <c r="P6" s="23">
        <v>12.7</v>
      </c>
      <c r="Q6" s="24">
        <v>15.7</v>
      </c>
    </row>
    <row r="7" spans="1:17" ht="20.100000000000001" customHeight="1">
      <c r="A7" s="4"/>
      <c r="B7" s="20" t="s">
        <v>75</v>
      </c>
      <c r="C7" s="15">
        <f>VLOOKUP(C5,$G$4:$Q$26,3,FALSE)</f>
        <v>150</v>
      </c>
      <c r="D7" s="16" t="s">
        <v>47</v>
      </c>
      <c r="E7" s="4"/>
      <c r="F7" s="22" t="s">
        <v>12</v>
      </c>
      <c r="G7" s="23">
        <v>160</v>
      </c>
      <c r="H7" s="23">
        <v>240</v>
      </c>
      <c r="I7" s="23">
        <v>150</v>
      </c>
      <c r="J7" s="23">
        <v>214</v>
      </c>
      <c r="K7" s="23">
        <v>4</v>
      </c>
      <c r="L7" s="23">
        <v>5.8</v>
      </c>
      <c r="M7" s="23">
        <v>7.7</v>
      </c>
      <c r="N7" s="23">
        <v>9.5</v>
      </c>
      <c r="O7" s="23">
        <v>11.8</v>
      </c>
      <c r="P7" s="23">
        <v>14.6</v>
      </c>
      <c r="Q7" s="24">
        <v>17.899999999999999</v>
      </c>
    </row>
    <row r="8" spans="1:17" ht="20.100000000000001" customHeight="1">
      <c r="A8" s="4"/>
      <c r="B8" s="20" t="s">
        <v>76</v>
      </c>
      <c r="C8" s="15">
        <f>VLOOKUP(C5,$G$4:$Q$26,4,FALSE)</f>
        <v>194</v>
      </c>
      <c r="D8" s="16" t="s">
        <v>47</v>
      </c>
      <c r="E8" s="4"/>
      <c r="F8" s="22" t="s">
        <v>12</v>
      </c>
      <c r="G8" s="23">
        <v>180</v>
      </c>
      <c r="H8" s="23">
        <v>270</v>
      </c>
      <c r="I8" s="23">
        <v>150</v>
      </c>
      <c r="J8" s="23">
        <v>222</v>
      </c>
      <c r="K8" s="23">
        <v>4.4000000000000004</v>
      </c>
      <c r="L8" s="23">
        <v>6.6</v>
      </c>
      <c r="M8" s="23">
        <v>8.6</v>
      </c>
      <c r="N8" s="23">
        <v>10.7</v>
      </c>
      <c r="O8" s="23">
        <v>13.3</v>
      </c>
      <c r="P8" s="23">
        <v>16.399999999999999</v>
      </c>
      <c r="Q8" s="24">
        <v>20.100000000000001</v>
      </c>
    </row>
    <row r="9" spans="1:17" ht="20.100000000000001" customHeight="1">
      <c r="A9" s="4"/>
      <c r="B9" s="20" t="s">
        <v>77</v>
      </c>
      <c r="C9" s="15">
        <f>IF(C4="PN4",VLOOKUP(C5,$G$4:$Q$26,5,FALSE),IF(C4="PN6",VLOOKUP(C5,$G$4:$Q$26,6,FALSE),IF(C4="PN8",VLOOKUP(C5,$G$4:$Q$26,7,FALSE),IF(C4="PN10",VLOOKUP(C5,$G$4:$Q$26,8,FALSE),IF(C4="PN12,5",VLOOKUP(C5,$G$4:$Q$26,9,FALSE),IF(C4="PN16",VLOOKUP(C5,$G$4:$Q$26,10,FALSE),VLOOKUP(C5,$G$4:$Q$26,11,FALSE)))))))</f>
        <v>6.6</v>
      </c>
      <c r="D9" s="16"/>
      <c r="E9" s="4"/>
      <c r="F9" s="22" t="s">
        <v>13</v>
      </c>
      <c r="G9" s="23">
        <v>200</v>
      </c>
      <c r="H9" s="23">
        <v>300</v>
      </c>
      <c r="I9" s="23">
        <v>150</v>
      </c>
      <c r="J9" s="23">
        <v>230</v>
      </c>
      <c r="K9" s="23">
        <v>4.9000000000000004</v>
      </c>
      <c r="L9" s="23">
        <v>7.3</v>
      </c>
      <c r="M9" s="23">
        <v>9.6</v>
      </c>
      <c r="N9" s="23">
        <v>11.9</v>
      </c>
      <c r="O9" s="23">
        <v>14.7</v>
      </c>
      <c r="P9" s="23">
        <v>18.2</v>
      </c>
      <c r="Q9" s="24">
        <v>22.4</v>
      </c>
    </row>
    <row r="10" spans="1:17" ht="20.100000000000001" customHeight="1">
      <c r="A10" s="4"/>
      <c r="B10" s="20" t="s">
        <v>53</v>
      </c>
      <c r="C10" s="15">
        <f>IF(C4="PN4",41,IF(C4="PN6",27.6,IF(C4="PN8",21,IF(C4="PN10",17,IF(C4="PN12,5",13.6,IF(C4="PN16",11,9))))))</f>
        <v>17</v>
      </c>
      <c r="D10" s="16" t="s">
        <v>47</v>
      </c>
      <c r="E10" s="4"/>
      <c r="F10" s="22" t="s">
        <v>13</v>
      </c>
      <c r="G10" s="23">
        <v>225</v>
      </c>
      <c r="H10" s="23">
        <v>338</v>
      </c>
      <c r="I10" s="23">
        <v>150</v>
      </c>
      <c r="J10" s="23">
        <v>241</v>
      </c>
      <c r="K10" s="23">
        <v>5.5</v>
      </c>
      <c r="L10" s="23">
        <v>8.1999999999999993</v>
      </c>
      <c r="M10" s="23">
        <v>10.8</v>
      </c>
      <c r="N10" s="23">
        <v>13.4</v>
      </c>
      <c r="O10" s="23">
        <v>16.600000000000001</v>
      </c>
      <c r="P10" s="23">
        <v>20.5</v>
      </c>
      <c r="Q10" s="24">
        <v>25.2</v>
      </c>
    </row>
    <row r="11" spans="1:17" ht="20.100000000000001" customHeight="1">
      <c r="A11" s="4"/>
      <c r="B11" s="20" t="s">
        <v>78</v>
      </c>
      <c r="C11" s="44">
        <f>IF(ISNUMBER(C9),C5-2*C9,"N/D")</f>
        <v>96.8</v>
      </c>
      <c r="D11" s="45"/>
      <c r="E11" s="4"/>
      <c r="F11" s="22" t="s">
        <v>14</v>
      </c>
      <c r="G11" s="23">
        <v>250</v>
      </c>
      <c r="H11" s="23">
        <v>375</v>
      </c>
      <c r="I11" s="23">
        <v>250</v>
      </c>
      <c r="J11" s="23">
        <v>350</v>
      </c>
      <c r="K11" s="23">
        <v>6.2</v>
      </c>
      <c r="L11" s="23">
        <v>9.1</v>
      </c>
      <c r="M11" s="23">
        <v>11.9</v>
      </c>
      <c r="N11" s="23">
        <v>14.8</v>
      </c>
      <c r="O11" s="23">
        <v>18.399999999999999</v>
      </c>
      <c r="P11" s="23">
        <v>22.7</v>
      </c>
      <c r="Q11" s="24">
        <v>27.9</v>
      </c>
    </row>
    <row r="12" spans="1:17" ht="20.100000000000001" customHeight="1">
      <c r="A12" s="4"/>
      <c r="B12" s="25" t="s">
        <v>55</v>
      </c>
      <c r="C12" s="42" t="s">
        <v>79</v>
      </c>
      <c r="D12" s="43"/>
      <c r="E12" s="4"/>
      <c r="F12" s="22" t="s">
        <v>14</v>
      </c>
      <c r="G12" s="23">
        <v>280</v>
      </c>
      <c r="H12" s="23">
        <v>420</v>
      </c>
      <c r="I12" s="23">
        <v>250</v>
      </c>
      <c r="J12" s="23">
        <v>362</v>
      </c>
      <c r="K12" s="23">
        <v>6.9</v>
      </c>
      <c r="L12" s="23">
        <v>10.199999999999999</v>
      </c>
      <c r="M12" s="23">
        <v>13.4</v>
      </c>
      <c r="N12" s="23">
        <v>16.600000000000001</v>
      </c>
      <c r="O12" s="23">
        <v>20.6</v>
      </c>
      <c r="P12" s="23">
        <v>25.4</v>
      </c>
      <c r="Q12" s="24">
        <v>31.3</v>
      </c>
    </row>
    <row r="13" spans="1:17" ht="20.100000000000001" customHeight="1">
      <c r="A13" s="4"/>
      <c r="B13" s="4"/>
      <c r="C13" s="4"/>
      <c r="D13" s="4"/>
      <c r="E13" s="4"/>
      <c r="F13" s="22" t="s">
        <v>15</v>
      </c>
      <c r="G13" s="23">
        <v>315</v>
      </c>
      <c r="H13" s="23">
        <v>473</v>
      </c>
      <c r="I13" s="23">
        <v>300</v>
      </c>
      <c r="J13" s="23">
        <v>428</v>
      </c>
      <c r="K13" s="23">
        <v>7.7</v>
      </c>
      <c r="L13" s="23">
        <v>11.4</v>
      </c>
      <c r="M13" s="23">
        <v>15</v>
      </c>
      <c r="N13" s="23">
        <v>18.7</v>
      </c>
      <c r="O13" s="23">
        <v>23.2</v>
      </c>
      <c r="P13" s="23">
        <v>28.6</v>
      </c>
      <c r="Q13" s="24">
        <v>35.200000000000003</v>
      </c>
    </row>
    <row r="14" spans="1:17" ht="20.100000000000001" customHeight="1">
      <c r="A14" s="4"/>
      <c r="B14" s="31" t="s">
        <v>80</v>
      </c>
      <c r="C14" s="31"/>
      <c r="D14" s="31"/>
      <c r="E14" s="4"/>
      <c r="F14" s="22" t="s">
        <v>16</v>
      </c>
      <c r="G14" s="23">
        <v>355</v>
      </c>
      <c r="H14" s="23">
        <v>533</v>
      </c>
      <c r="I14" s="23">
        <v>300</v>
      </c>
      <c r="J14" s="23">
        <v>443</v>
      </c>
      <c r="K14" s="23">
        <v>8.6999999999999993</v>
      </c>
      <c r="L14" s="23">
        <v>12.9</v>
      </c>
      <c r="M14" s="23">
        <v>16.899999999999999</v>
      </c>
      <c r="N14" s="23">
        <v>21.1</v>
      </c>
      <c r="O14" s="23">
        <v>26.1</v>
      </c>
      <c r="P14" s="23">
        <v>32.200000000000003</v>
      </c>
      <c r="Q14" s="24">
        <v>39.700000000000003</v>
      </c>
    </row>
    <row r="15" spans="1:17" ht="28.5" customHeight="1">
      <c r="A15" s="4"/>
      <c r="B15" s="11" t="s">
        <v>62</v>
      </c>
      <c r="C15" s="34" t="s">
        <v>81</v>
      </c>
      <c r="D15" s="35"/>
      <c r="E15" s="4"/>
      <c r="F15" s="22" t="s">
        <v>17</v>
      </c>
      <c r="G15" s="23">
        <v>400</v>
      </c>
      <c r="H15" s="23">
        <v>600</v>
      </c>
      <c r="I15" s="23">
        <v>300</v>
      </c>
      <c r="J15" s="23">
        <v>461</v>
      </c>
      <c r="K15" s="23">
        <v>9.8000000000000007</v>
      </c>
      <c r="L15" s="23">
        <v>14.5</v>
      </c>
      <c r="M15" s="23">
        <v>19.100000000000001</v>
      </c>
      <c r="N15" s="23">
        <v>23.7</v>
      </c>
      <c r="O15" s="23">
        <v>29.4</v>
      </c>
      <c r="P15" s="23">
        <v>36.299999999999997</v>
      </c>
      <c r="Q15" s="24">
        <v>44.7</v>
      </c>
    </row>
    <row r="16" spans="1:17" ht="15">
      <c r="A16" s="4"/>
      <c r="B16" s="14" t="s">
        <v>58</v>
      </c>
      <c r="C16" s="36" t="s">
        <v>82</v>
      </c>
      <c r="D16" s="37"/>
      <c r="E16" s="4"/>
      <c r="F16" s="22" t="s">
        <v>18</v>
      </c>
      <c r="G16" s="23">
        <v>450</v>
      </c>
      <c r="H16" s="23">
        <v>675</v>
      </c>
      <c r="I16" s="23">
        <v>300</v>
      </c>
      <c r="J16" s="23">
        <v>481</v>
      </c>
      <c r="K16" s="23">
        <v>11</v>
      </c>
      <c r="L16" s="23">
        <v>16.3</v>
      </c>
      <c r="M16" s="23">
        <v>21.5</v>
      </c>
      <c r="N16" s="23">
        <v>26.7</v>
      </c>
      <c r="O16" s="23">
        <v>33.1</v>
      </c>
      <c r="P16" s="23">
        <v>40.9</v>
      </c>
      <c r="Q16" s="24">
        <v>50.3</v>
      </c>
    </row>
    <row r="17" spans="1:17" ht="28.5" customHeight="1">
      <c r="A17" s="4"/>
      <c r="B17" s="14" t="s">
        <v>60</v>
      </c>
      <c r="C17" s="36" t="s">
        <v>83</v>
      </c>
      <c r="D17" s="37"/>
      <c r="E17" s="4"/>
      <c r="F17" s="22" t="s">
        <v>19</v>
      </c>
      <c r="G17" s="23">
        <v>500</v>
      </c>
      <c r="H17" s="23">
        <v>750</v>
      </c>
      <c r="I17" s="23">
        <v>350</v>
      </c>
      <c r="J17" s="23">
        <v>551</v>
      </c>
      <c r="K17" s="23">
        <v>12.3</v>
      </c>
      <c r="L17" s="23">
        <v>18.100000000000001</v>
      </c>
      <c r="M17" s="23">
        <v>23.9</v>
      </c>
      <c r="N17" s="23">
        <v>29.7</v>
      </c>
      <c r="O17" s="23">
        <v>36.799999999999997</v>
      </c>
      <c r="P17" s="23">
        <v>45.4</v>
      </c>
      <c r="Q17" s="24">
        <v>55.8</v>
      </c>
    </row>
    <row r="18" spans="1:17" ht="42.75" customHeight="1">
      <c r="A18" s="4"/>
      <c r="B18" s="14" t="s">
        <v>84</v>
      </c>
      <c r="C18" s="36" t="s">
        <v>85</v>
      </c>
      <c r="D18" s="37"/>
      <c r="E18" s="4"/>
      <c r="F18" s="22" t="s">
        <v>20</v>
      </c>
      <c r="G18" s="23">
        <v>560</v>
      </c>
      <c r="H18" s="23">
        <v>840</v>
      </c>
      <c r="I18" s="23">
        <v>350</v>
      </c>
      <c r="J18" s="23">
        <v>575</v>
      </c>
      <c r="K18" s="23">
        <v>13.7</v>
      </c>
      <c r="L18" s="23">
        <v>20.3</v>
      </c>
      <c r="M18" s="23">
        <v>26.7</v>
      </c>
      <c r="N18" s="23">
        <v>33.200000000000003</v>
      </c>
      <c r="O18" s="23">
        <v>41.2</v>
      </c>
      <c r="P18" s="23">
        <v>50.8</v>
      </c>
      <c r="Q18" s="24" t="s">
        <v>37</v>
      </c>
    </row>
    <row r="19" spans="1:17" ht="28.5" customHeight="1">
      <c r="A19" s="4"/>
      <c r="B19" s="17" t="s">
        <v>8</v>
      </c>
      <c r="C19" s="38" t="s">
        <v>86</v>
      </c>
      <c r="D19" s="39"/>
      <c r="E19" s="4"/>
      <c r="F19" s="22" t="s">
        <v>21</v>
      </c>
      <c r="G19" s="23">
        <v>630</v>
      </c>
      <c r="H19" s="23">
        <v>945</v>
      </c>
      <c r="I19" s="23">
        <v>350</v>
      </c>
      <c r="J19" s="23">
        <v>603</v>
      </c>
      <c r="K19" s="23">
        <v>15.4</v>
      </c>
      <c r="L19" s="23">
        <v>22.8</v>
      </c>
      <c r="M19" s="23">
        <v>30</v>
      </c>
      <c r="N19" s="23">
        <v>37.4</v>
      </c>
      <c r="O19" s="23">
        <v>46.2</v>
      </c>
      <c r="P19" s="23">
        <v>57.2</v>
      </c>
      <c r="Q19" s="24" t="s">
        <v>37</v>
      </c>
    </row>
    <row r="20" spans="1:17" ht="20.100000000000001" customHeight="1">
      <c r="A20" s="4"/>
      <c r="B20" s="4"/>
      <c r="C20" s="4"/>
      <c r="D20" s="4"/>
      <c r="E20" s="4"/>
      <c r="F20" s="22" t="s">
        <v>22</v>
      </c>
      <c r="G20" s="23">
        <v>710</v>
      </c>
      <c r="H20" s="23">
        <v>1065</v>
      </c>
      <c r="I20" s="23">
        <v>350</v>
      </c>
      <c r="J20" s="23">
        <v>636</v>
      </c>
      <c r="K20" s="23">
        <v>17.399999999999999</v>
      </c>
      <c r="L20" s="23">
        <v>25.7</v>
      </c>
      <c r="M20" s="23">
        <v>33.9</v>
      </c>
      <c r="N20" s="23">
        <v>42.1</v>
      </c>
      <c r="O20" s="23">
        <v>52.2</v>
      </c>
      <c r="P20" s="23" t="s">
        <v>37</v>
      </c>
      <c r="Q20" s="24" t="s">
        <v>37</v>
      </c>
    </row>
    <row r="21" spans="1:17" ht="20.100000000000001" customHeight="1">
      <c r="A21" s="4"/>
      <c r="B21" s="4"/>
      <c r="C21" s="4"/>
      <c r="D21" s="4"/>
      <c r="E21" s="4"/>
      <c r="F21" s="22" t="s">
        <v>23</v>
      </c>
      <c r="G21" s="23">
        <v>800</v>
      </c>
      <c r="H21" s="23">
        <v>1200</v>
      </c>
      <c r="I21" s="23">
        <v>350</v>
      </c>
      <c r="J21" s="23">
        <v>672</v>
      </c>
      <c r="K21" s="23">
        <v>19.600000000000001</v>
      </c>
      <c r="L21" s="23">
        <v>29</v>
      </c>
      <c r="M21" s="23">
        <v>38.1</v>
      </c>
      <c r="N21" s="23">
        <v>47.4</v>
      </c>
      <c r="O21" s="23">
        <v>58.8</v>
      </c>
      <c r="P21" s="23" t="s">
        <v>37</v>
      </c>
      <c r="Q21" s="24" t="s">
        <v>37</v>
      </c>
    </row>
    <row r="22" spans="1:17" ht="20.100000000000001" customHeight="1">
      <c r="A22" s="4"/>
      <c r="B22" s="4"/>
      <c r="C22" s="4"/>
      <c r="D22" s="4"/>
      <c r="E22" s="4"/>
      <c r="F22" s="22" t="s">
        <v>24</v>
      </c>
      <c r="G22" s="23">
        <v>900</v>
      </c>
      <c r="H22" s="23">
        <v>1350</v>
      </c>
      <c r="I22" s="23">
        <v>400</v>
      </c>
      <c r="J22" s="23">
        <v>762</v>
      </c>
      <c r="K22" s="23">
        <v>22</v>
      </c>
      <c r="L22" s="23">
        <v>32.6</v>
      </c>
      <c r="M22" s="23">
        <v>42.9</v>
      </c>
      <c r="N22" s="23">
        <v>53.3</v>
      </c>
      <c r="O22" s="23" t="s">
        <v>37</v>
      </c>
      <c r="P22" s="23" t="s">
        <v>37</v>
      </c>
      <c r="Q22" s="24" t="s">
        <v>37</v>
      </c>
    </row>
    <row r="23" spans="1:17" ht="20.100000000000001" customHeight="1">
      <c r="A23" s="4"/>
      <c r="B23" s="4"/>
      <c r="C23" s="4"/>
      <c r="D23" s="4"/>
      <c r="E23" s="4"/>
      <c r="F23" s="22" t="s">
        <v>25</v>
      </c>
      <c r="G23" s="23">
        <v>1000</v>
      </c>
      <c r="H23" s="23">
        <v>1500</v>
      </c>
      <c r="I23" s="23">
        <v>400</v>
      </c>
      <c r="J23" s="23">
        <v>802</v>
      </c>
      <c r="K23" s="23">
        <v>24.5</v>
      </c>
      <c r="L23" s="23">
        <v>36.200000000000003</v>
      </c>
      <c r="M23" s="23">
        <v>47.7</v>
      </c>
      <c r="N23" s="23">
        <v>59.3</v>
      </c>
      <c r="O23" s="23" t="s">
        <v>37</v>
      </c>
      <c r="P23" s="23" t="s">
        <v>37</v>
      </c>
      <c r="Q23" s="24" t="s">
        <v>37</v>
      </c>
    </row>
    <row r="24" spans="1:17" ht="20.100000000000001" customHeight="1">
      <c r="A24" s="4"/>
      <c r="B24" s="4"/>
      <c r="C24" s="4"/>
      <c r="D24" s="4"/>
      <c r="E24" s="4"/>
      <c r="F24" s="22" t="s">
        <v>26</v>
      </c>
      <c r="G24" s="23">
        <v>1200</v>
      </c>
      <c r="H24" s="23">
        <v>1800</v>
      </c>
      <c r="I24" s="23">
        <v>400</v>
      </c>
      <c r="J24" s="23">
        <v>882</v>
      </c>
      <c r="K24" s="23">
        <v>29.4</v>
      </c>
      <c r="L24" s="23">
        <v>43.4</v>
      </c>
      <c r="M24" s="23">
        <v>57.2</v>
      </c>
      <c r="N24" s="23" t="s">
        <v>37</v>
      </c>
      <c r="O24" s="23" t="s">
        <v>37</v>
      </c>
      <c r="P24" s="23" t="s">
        <v>37</v>
      </c>
      <c r="Q24" s="24" t="s">
        <v>37</v>
      </c>
    </row>
    <row r="25" spans="1:17" ht="20.100000000000001" customHeight="1">
      <c r="A25" s="4"/>
      <c r="B25" s="4"/>
      <c r="C25" s="4"/>
      <c r="D25" s="4"/>
      <c r="E25" s="4"/>
      <c r="F25" s="22" t="s">
        <v>27</v>
      </c>
      <c r="G25" s="23">
        <v>1400</v>
      </c>
      <c r="H25" s="23">
        <v>2100</v>
      </c>
      <c r="I25" s="23">
        <v>400</v>
      </c>
      <c r="J25" s="23">
        <v>963</v>
      </c>
      <c r="K25" s="23">
        <v>34.299999999999997</v>
      </c>
      <c r="L25" s="23">
        <v>50.6</v>
      </c>
      <c r="M25" s="23" t="s">
        <v>37</v>
      </c>
      <c r="N25" s="23" t="s">
        <v>37</v>
      </c>
      <c r="O25" s="23" t="s">
        <v>37</v>
      </c>
      <c r="P25" s="23" t="s">
        <v>37</v>
      </c>
      <c r="Q25" s="24" t="s">
        <v>37</v>
      </c>
    </row>
    <row r="26" spans="1:17" ht="20.100000000000001" customHeight="1">
      <c r="A26" s="4"/>
      <c r="B26" s="4"/>
      <c r="C26" s="4"/>
      <c r="D26" s="4"/>
      <c r="E26" s="4"/>
      <c r="F26" s="26" t="s">
        <v>28</v>
      </c>
      <c r="G26" s="27">
        <v>1600</v>
      </c>
      <c r="H26" s="27">
        <v>2400</v>
      </c>
      <c r="I26" s="27">
        <v>400</v>
      </c>
      <c r="J26" s="27">
        <v>1043</v>
      </c>
      <c r="K26" s="27">
        <v>39.200000000000003</v>
      </c>
      <c r="L26" s="27">
        <v>57.9</v>
      </c>
      <c r="M26" s="27" t="s">
        <v>37</v>
      </c>
      <c r="N26" s="27" t="s">
        <v>37</v>
      </c>
      <c r="O26" s="27" t="s">
        <v>37</v>
      </c>
      <c r="P26" s="27" t="s">
        <v>37</v>
      </c>
      <c r="Q26" s="28" t="s">
        <v>37</v>
      </c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</sheetData>
  <mergeCells count="10">
    <mergeCell ref="B1:E1"/>
    <mergeCell ref="B14:D14"/>
    <mergeCell ref="C19:D19"/>
    <mergeCell ref="C18:D18"/>
    <mergeCell ref="C17:D17"/>
    <mergeCell ref="C16:D16"/>
    <mergeCell ref="C15:D15"/>
    <mergeCell ref="C3:D3"/>
    <mergeCell ref="C12:D12"/>
    <mergeCell ref="C11:D11"/>
  </mergeCells>
  <dataValidations count="2">
    <dataValidation type="list" sqref="C4" xr:uid="{00000000-0002-0000-0300-000000000000}">
      <formula1>"PN4,PN6,PN8,PN10,PN12,5,PN16,PN20"</formula1>
    </dataValidation>
    <dataValidation type="list" sqref="C5" xr:uid="{00000000-0002-0000-0300-000001000000}">
      <formula1>"110,125,140,160,180,200,225,250,280,315,355,400,450,500,560,630,710,800,900,1000,1200,1400,1600"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0"/>
  <sheetViews>
    <sheetView workbookViewId="0">
      <selection activeCell="C11" sqref="C11:D11"/>
    </sheetView>
  </sheetViews>
  <sheetFormatPr baseColWidth="10" defaultColWidth="9" defaultRowHeight="14.25"/>
  <cols>
    <col min="2" max="2" width="20" customWidth="1"/>
    <col min="3" max="4" width="18" customWidth="1"/>
    <col min="6" max="6" width="12" customWidth="1"/>
    <col min="7" max="17" width="11" customWidth="1"/>
  </cols>
  <sheetData>
    <row r="1" spans="1:17" ht="20.100000000000001" customHeight="1">
      <c r="A1" s="4"/>
      <c r="B1" s="31" t="s">
        <v>87</v>
      </c>
      <c r="C1" s="31"/>
      <c r="D1" s="31"/>
      <c r="E1" s="3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20.100000000000001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0.100000000000001" customHeight="1">
      <c r="A3" s="4"/>
      <c r="B3" s="1" t="s">
        <v>39</v>
      </c>
      <c r="C3" s="40" t="s">
        <v>69</v>
      </c>
      <c r="D3" s="41"/>
      <c r="E3" s="4"/>
      <c r="F3" s="1" t="s">
        <v>1</v>
      </c>
      <c r="G3" s="2" t="s">
        <v>0</v>
      </c>
      <c r="H3" s="2" t="s">
        <v>70</v>
      </c>
      <c r="I3" s="2" t="s">
        <v>71</v>
      </c>
      <c r="J3" s="2" t="s">
        <v>72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3" t="s">
        <v>35</v>
      </c>
    </row>
    <row r="4" spans="1:17" ht="20.100000000000001" customHeight="1">
      <c r="A4" s="4"/>
      <c r="B4" s="20" t="s">
        <v>73</v>
      </c>
      <c r="C4" s="21" t="s">
        <v>32</v>
      </c>
      <c r="D4" s="16"/>
      <c r="E4" s="4"/>
      <c r="F4" s="22" t="s">
        <v>9</v>
      </c>
      <c r="G4" s="23">
        <v>110</v>
      </c>
      <c r="H4" s="23">
        <v>165</v>
      </c>
      <c r="I4" s="23">
        <v>150</v>
      </c>
      <c r="J4" s="23">
        <v>218</v>
      </c>
      <c r="K4" s="23">
        <v>2.7</v>
      </c>
      <c r="L4" s="23">
        <v>4</v>
      </c>
      <c r="M4" s="23">
        <v>5.3</v>
      </c>
      <c r="N4" s="23">
        <v>6.6</v>
      </c>
      <c r="O4" s="23">
        <v>8.1</v>
      </c>
      <c r="P4" s="23">
        <v>10</v>
      </c>
      <c r="Q4" s="24">
        <v>12.3</v>
      </c>
    </row>
    <row r="5" spans="1:17" ht="20.100000000000001" customHeight="1">
      <c r="A5" s="4"/>
      <c r="B5" s="20" t="s">
        <v>74</v>
      </c>
      <c r="C5" s="21">
        <v>110</v>
      </c>
      <c r="D5" s="16" t="s">
        <v>47</v>
      </c>
      <c r="E5" s="4"/>
      <c r="F5" s="22" t="s">
        <v>10</v>
      </c>
      <c r="G5" s="23">
        <v>125</v>
      </c>
      <c r="H5" s="23">
        <v>188</v>
      </c>
      <c r="I5" s="23">
        <v>150</v>
      </c>
      <c r="J5" s="23">
        <v>228</v>
      </c>
      <c r="K5" s="23">
        <v>3.1</v>
      </c>
      <c r="L5" s="23">
        <v>4.5999999999999996</v>
      </c>
      <c r="M5" s="23">
        <v>6</v>
      </c>
      <c r="N5" s="23">
        <v>7.4</v>
      </c>
      <c r="O5" s="23">
        <v>9.1999999999999993</v>
      </c>
      <c r="P5" s="23">
        <v>11.4</v>
      </c>
      <c r="Q5" s="24">
        <v>14</v>
      </c>
    </row>
    <row r="6" spans="1:17" ht="20.100000000000001" customHeight="1">
      <c r="A6" s="4"/>
      <c r="B6" s="20" t="s">
        <v>70</v>
      </c>
      <c r="C6" s="15">
        <f>VLOOKUP(C5,$G$4:$Q$26,2,FALSE)</f>
        <v>165</v>
      </c>
      <c r="D6" s="16" t="s">
        <v>47</v>
      </c>
      <c r="E6" s="4"/>
      <c r="F6" s="22" t="s">
        <v>11</v>
      </c>
      <c r="G6" s="23">
        <v>140</v>
      </c>
      <c r="H6" s="23">
        <v>210</v>
      </c>
      <c r="I6" s="23">
        <v>150</v>
      </c>
      <c r="J6" s="23">
        <v>237</v>
      </c>
      <c r="K6" s="23">
        <v>3.5</v>
      </c>
      <c r="L6" s="23">
        <v>5.0999999999999996</v>
      </c>
      <c r="M6" s="23">
        <v>6.7</v>
      </c>
      <c r="N6" s="23">
        <v>8.3000000000000007</v>
      </c>
      <c r="O6" s="23">
        <v>10.3</v>
      </c>
      <c r="P6" s="23">
        <v>12.7</v>
      </c>
      <c r="Q6" s="24">
        <v>15.7</v>
      </c>
    </row>
    <row r="7" spans="1:17" ht="20.100000000000001" customHeight="1">
      <c r="A7" s="4"/>
      <c r="B7" s="20" t="s">
        <v>75</v>
      </c>
      <c r="C7" s="15">
        <f>VLOOKUP(C5,$G$4:$Q$26,3,FALSE)</f>
        <v>150</v>
      </c>
      <c r="D7" s="16" t="s">
        <v>47</v>
      </c>
      <c r="E7" s="4"/>
      <c r="F7" s="22" t="s">
        <v>12</v>
      </c>
      <c r="G7" s="23">
        <v>160</v>
      </c>
      <c r="H7" s="23">
        <v>240</v>
      </c>
      <c r="I7" s="23">
        <v>150</v>
      </c>
      <c r="J7" s="23">
        <v>249</v>
      </c>
      <c r="K7" s="23">
        <v>4</v>
      </c>
      <c r="L7" s="23">
        <v>5.8</v>
      </c>
      <c r="M7" s="23">
        <v>7.7</v>
      </c>
      <c r="N7" s="23">
        <v>9.5</v>
      </c>
      <c r="O7" s="23">
        <v>11.8</v>
      </c>
      <c r="P7" s="23">
        <v>14.6</v>
      </c>
      <c r="Q7" s="24">
        <v>17.899999999999999</v>
      </c>
    </row>
    <row r="8" spans="1:17" ht="20.100000000000001" customHeight="1">
      <c r="A8" s="4"/>
      <c r="B8" s="20" t="s">
        <v>76</v>
      </c>
      <c r="C8" s="15">
        <f>VLOOKUP(C5,$G$4:$Q$26,4,FALSE)</f>
        <v>218</v>
      </c>
      <c r="D8" s="16" t="s">
        <v>47</v>
      </c>
      <c r="E8" s="4"/>
      <c r="F8" s="22" t="s">
        <v>12</v>
      </c>
      <c r="G8" s="23">
        <v>180</v>
      </c>
      <c r="H8" s="23">
        <v>270</v>
      </c>
      <c r="I8" s="23">
        <v>150</v>
      </c>
      <c r="J8" s="23">
        <v>262</v>
      </c>
      <c r="K8" s="23">
        <v>4.4000000000000004</v>
      </c>
      <c r="L8" s="23">
        <v>6.6</v>
      </c>
      <c r="M8" s="23">
        <v>8.6</v>
      </c>
      <c r="N8" s="23">
        <v>10.7</v>
      </c>
      <c r="O8" s="23">
        <v>13.3</v>
      </c>
      <c r="P8" s="23">
        <v>16.399999999999999</v>
      </c>
      <c r="Q8" s="24">
        <v>20.100000000000001</v>
      </c>
    </row>
    <row r="9" spans="1:17" ht="20.100000000000001" customHeight="1">
      <c r="A9" s="4"/>
      <c r="B9" s="20" t="s">
        <v>77</v>
      </c>
      <c r="C9" s="15">
        <f>IF(C4="PN4",VLOOKUP(C5,$G$4:$Q$26,5,FALSE),IF(C4="PN6",VLOOKUP(C5,$G$4:$Q$26,6,FALSE),IF(C4="PN8",VLOOKUP(C5,$G$4:$Q$26,7,FALSE),IF(C4="PN10",VLOOKUP(C5,$G$4:$Q$26,8,FALSE),IF(C4="PN12,5",VLOOKUP(C5,$G$4:$Q$26,9,FALSE),IF(C4="PN16",VLOOKUP(C5,$G$4:$Q$26,10,FALSE),VLOOKUP(C5,$G$4:$Q$26,11,FALSE)))))))</f>
        <v>6.6</v>
      </c>
      <c r="D9" s="16"/>
      <c r="E9" s="4"/>
      <c r="F9" s="22" t="s">
        <v>13</v>
      </c>
      <c r="G9" s="23">
        <v>200</v>
      </c>
      <c r="H9" s="23">
        <v>300</v>
      </c>
      <c r="I9" s="23">
        <v>150</v>
      </c>
      <c r="J9" s="23">
        <v>274</v>
      </c>
      <c r="K9" s="23">
        <v>4.9000000000000004</v>
      </c>
      <c r="L9" s="23">
        <v>7.3</v>
      </c>
      <c r="M9" s="23">
        <v>9.6</v>
      </c>
      <c r="N9" s="23">
        <v>11.9</v>
      </c>
      <c r="O9" s="23">
        <v>14.7</v>
      </c>
      <c r="P9" s="23">
        <v>18.2</v>
      </c>
      <c r="Q9" s="24">
        <v>22.4</v>
      </c>
    </row>
    <row r="10" spans="1:17" ht="20.100000000000001" customHeight="1">
      <c r="A10" s="4"/>
      <c r="B10" s="20" t="s">
        <v>53</v>
      </c>
      <c r="C10" s="15">
        <f>IF(C4="PN4",41,IF(C4="PN6",27.6,IF(C4="PN8",21,IF(C4="PN10",17,IF(C4="PN12,5",13.6,IF(C4="PN16",11,9))))))</f>
        <v>17</v>
      </c>
      <c r="D10" s="16" t="s">
        <v>47</v>
      </c>
      <c r="E10" s="4"/>
      <c r="F10" s="22" t="s">
        <v>13</v>
      </c>
      <c r="G10" s="23">
        <v>225</v>
      </c>
      <c r="H10" s="23">
        <v>338</v>
      </c>
      <c r="I10" s="23">
        <v>150</v>
      </c>
      <c r="J10" s="23">
        <v>290</v>
      </c>
      <c r="K10" s="23">
        <v>5.5</v>
      </c>
      <c r="L10" s="23">
        <v>8.1999999999999993</v>
      </c>
      <c r="M10" s="23">
        <v>10.8</v>
      </c>
      <c r="N10" s="23">
        <v>13.4</v>
      </c>
      <c r="O10" s="23">
        <v>16.600000000000001</v>
      </c>
      <c r="P10" s="23">
        <v>20.5</v>
      </c>
      <c r="Q10" s="24">
        <v>25.2</v>
      </c>
    </row>
    <row r="11" spans="1:17" ht="20.100000000000001" customHeight="1">
      <c r="A11" s="4"/>
      <c r="B11" s="20" t="s">
        <v>78</v>
      </c>
      <c r="C11" s="44">
        <f>IF(ISNUMBER(C9),C5-2*C9,"N/D")</f>
        <v>96.8</v>
      </c>
      <c r="D11" s="45"/>
      <c r="E11" s="4"/>
      <c r="F11" s="22" t="s">
        <v>14</v>
      </c>
      <c r="G11" s="23">
        <v>250</v>
      </c>
      <c r="H11" s="23">
        <v>375</v>
      </c>
      <c r="I11" s="23">
        <v>250</v>
      </c>
      <c r="J11" s="23">
        <v>412</v>
      </c>
      <c r="K11" s="23">
        <v>6.2</v>
      </c>
      <c r="L11" s="23">
        <v>9.1</v>
      </c>
      <c r="M11" s="23">
        <v>11.9</v>
      </c>
      <c r="N11" s="23">
        <v>14.8</v>
      </c>
      <c r="O11" s="23">
        <v>18.399999999999999</v>
      </c>
      <c r="P11" s="23">
        <v>22.7</v>
      </c>
      <c r="Q11" s="24">
        <v>27.9</v>
      </c>
    </row>
    <row r="12" spans="1:17" ht="20.100000000000001" customHeight="1">
      <c r="A12" s="4"/>
      <c r="B12" s="25" t="s">
        <v>55</v>
      </c>
      <c r="C12" s="42" t="s">
        <v>88</v>
      </c>
      <c r="D12" s="43"/>
      <c r="E12" s="4"/>
      <c r="F12" s="22" t="s">
        <v>14</v>
      </c>
      <c r="G12" s="23">
        <v>280</v>
      </c>
      <c r="H12" s="23">
        <v>420</v>
      </c>
      <c r="I12" s="23">
        <v>250</v>
      </c>
      <c r="J12" s="23">
        <v>424</v>
      </c>
      <c r="K12" s="23">
        <v>6.9</v>
      </c>
      <c r="L12" s="23">
        <v>10.199999999999999</v>
      </c>
      <c r="M12" s="23">
        <v>13.4</v>
      </c>
      <c r="N12" s="23">
        <v>16.600000000000001</v>
      </c>
      <c r="O12" s="23">
        <v>20.6</v>
      </c>
      <c r="P12" s="23">
        <v>25.4</v>
      </c>
      <c r="Q12" s="24">
        <v>31.3</v>
      </c>
    </row>
    <row r="13" spans="1:17" ht="20.100000000000001" customHeight="1">
      <c r="A13" s="4"/>
      <c r="B13" s="4"/>
      <c r="C13" s="4"/>
      <c r="D13" s="4"/>
      <c r="E13" s="4"/>
      <c r="F13" s="22" t="s">
        <v>15</v>
      </c>
      <c r="G13" s="23">
        <v>315</v>
      </c>
      <c r="H13" s="23">
        <v>473</v>
      </c>
      <c r="I13" s="23">
        <v>300</v>
      </c>
      <c r="J13" s="23">
        <v>498</v>
      </c>
      <c r="K13" s="23">
        <v>7.7</v>
      </c>
      <c r="L13" s="23">
        <v>11.4</v>
      </c>
      <c r="M13" s="23">
        <v>15</v>
      </c>
      <c r="N13" s="23">
        <v>18.7</v>
      </c>
      <c r="O13" s="23">
        <v>23.2</v>
      </c>
      <c r="P13" s="23">
        <v>28.6</v>
      </c>
      <c r="Q13" s="24">
        <v>35.200000000000003</v>
      </c>
    </row>
    <row r="14" spans="1:17" ht="20.100000000000001" customHeight="1">
      <c r="A14" s="4"/>
      <c r="B14" s="31" t="s">
        <v>80</v>
      </c>
      <c r="C14" s="31"/>
      <c r="D14" s="31"/>
      <c r="E14" s="4"/>
      <c r="F14" s="22" t="s">
        <v>16</v>
      </c>
      <c r="G14" s="23">
        <v>355</v>
      </c>
      <c r="H14" s="23">
        <v>533</v>
      </c>
      <c r="I14" s="23">
        <v>300</v>
      </c>
      <c r="J14" s="23">
        <v>520</v>
      </c>
      <c r="K14" s="23">
        <v>8.6999999999999993</v>
      </c>
      <c r="L14" s="23">
        <v>12.9</v>
      </c>
      <c r="M14" s="23">
        <v>16.899999999999999</v>
      </c>
      <c r="N14" s="23">
        <v>21.1</v>
      </c>
      <c r="O14" s="23">
        <v>26.1</v>
      </c>
      <c r="P14" s="23">
        <v>32.200000000000003</v>
      </c>
      <c r="Q14" s="24">
        <v>39.700000000000003</v>
      </c>
    </row>
    <row r="15" spans="1:17" ht="28.5" customHeight="1">
      <c r="A15" s="4"/>
      <c r="B15" s="11" t="s">
        <v>62</v>
      </c>
      <c r="C15" s="34" t="s">
        <v>81</v>
      </c>
      <c r="D15" s="35"/>
      <c r="E15" s="4"/>
      <c r="F15" s="22" t="s">
        <v>17</v>
      </c>
      <c r="G15" s="23">
        <v>400</v>
      </c>
      <c r="H15" s="23">
        <v>600</v>
      </c>
      <c r="I15" s="23">
        <v>300</v>
      </c>
      <c r="J15" s="23">
        <v>548</v>
      </c>
      <c r="K15" s="23">
        <v>9.8000000000000007</v>
      </c>
      <c r="L15" s="23">
        <v>14.5</v>
      </c>
      <c r="M15" s="23">
        <v>19.100000000000001</v>
      </c>
      <c r="N15" s="23">
        <v>23.7</v>
      </c>
      <c r="O15" s="23">
        <v>29.4</v>
      </c>
      <c r="P15" s="23">
        <v>36.299999999999997</v>
      </c>
      <c r="Q15" s="24">
        <v>44.7</v>
      </c>
    </row>
    <row r="16" spans="1:17" ht="15">
      <c r="A16" s="4"/>
      <c r="B16" s="14" t="s">
        <v>58</v>
      </c>
      <c r="C16" s="36" t="s">
        <v>82</v>
      </c>
      <c r="D16" s="37"/>
      <c r="E16" s="4"/>
      <c r="F16" s="22" t="s">
        <v>18</v>
      </c>
      <c r="G16" s="23">
        <v>450</v>
      </c>
      <c r="H16" s="23">
        <v>675</v>
      </c>
      <c r="I16" s="23">
        <v>300</v>
      </c>
      <c r="J16" s="23">
        <v>580</v>
      </c>
      <c r="K16" s="23">
        <v>11</v>
      </c>
      <c r="L16" s="23">
        <v>16.3</v>
      </c>
      <c r="M16" s="23">
        <v>21.5</v>
      </c>
      <c r="N16" s="23">
        <v>26.7</v>
      </c>
      <c r="O16" s="23">
        <v>33.1</v>
      </c>
      <c r="P16" s="23">
        <v>40.9</v>
      </c>
      <c r="Q16" s="24">
        <v>50.3</v>
      </c>
    </row>
    <row r="17" spans="1:17" ht="28.5" customHeight="1">
      <c r="A17" s="4"/>
      <c r="B17" s="14" t="s">
        <v>60</v>
      </c>
      <c r="C17" s="36" t="s">
        <v>83</v>
      </c>
      <c r="D17" s="37"/>
      <c r="E17" s="4"/>
      <c r="F17" s="22" t="s">
        <v>19</v>
      </c>
      <c r="G17" s="23">
        <v>500</v>
      </c>
      <c r="H17" s="23">
        <v>750</v>
      </c>
      <c r="I17" s="23">
        <v>350</v>
      </c>
      <c r="J17" s="23">
        <v>665</v>
      </c>
      <c r="K17" s="23">
        <v>12.3</v>
      </c>
      <c r="L17" s="23">
        <v>18.100000000000001</v>
      </c>
      <c r="M17" s="23">
        <v>23.9</v>
      </c>
      <c r="N17" s="23">
        <v>29.7</v>
      </c>
      <c r="O17" s="23">
        <v>36.799999999999997</v>
      </c>
      <c r="P17" s="23">
        <v>45.4</v>
      </c>
      <c r="Q17" s="24">
        <v>55.8</v>
      </c>
    </row>
    <row r="18" spans="1:17" ht="42.75" customHeight="1">
      <c r="A18" s="4"/>
      <c r="B18" s="14" t="s">
        <v>84</v>
      </c>
      <c r="C18" s="36" t="s">
        <v>85</v>
      </c>
      <c r="D18" s="37"/>
      <c r="E18" s="4"/>
      <c r="F18" s="22" t="s">
        <v>20</v>
      </c>
      <c r="G18" s="23">
        <v>560</v>
      </c>
      <c r="H18" s="23">
        <v>840</v>
      </c>
      <c r="I18" s="23">
        <v>350</v>
      </c>
      <c r="J18" s="23">
        <v>698</v>
      </c>
      <c r="K18" s="23">
        <v>13.7</v>
      </c>
      <c r="L18" s="23">
        <v>20.3</v>
      </c>
      <c r="M18" s="23">
        <v>26.7</v>
      </c>
      <c r="N18" s="23">
        <v>33.200000000000003</v>
      </c>
      <c r="O18" s="23">
        <v>41.2</v>
      </c>
      <c r="P18" s="23">
        <v>50.8</v>
      </c>
      <c r="Q18" s="24" t="s">
        <v>37</v>
      </c>
    </row>
    <row r="19" spans="1:17" ht="28.5" customHeight="1">
      <c r="A19" s="4"/>
      <c r="B19" s="17" t="s">
        <v>8</v>
      </c>
      <c r="C19" s="38" t="s">
        <v>86</v>
      </c>
      <c r="D19" s="39"/>
      <c r="E19" s="4"/>
      <c r="F19" s="22" t="s">
        <v>21</v>
      </c>
      <c r="G19" s="23">
        <v>630</v>
      </c>
      <c r="H19" s="23">
        <v>945</v>
      </c>
      <c r="I19" s="23">
        <v>350</v>
      </c>
      <c r="J19" s="23">
        <v>741</v>
      </c>
      <c r="K19" s="23">
        <v>15.4</v>
      </c>
      <c r="L19" s="23">
        <v>22.8</v>
      </c>
      <c r="M19" s="23">
        <v>30</v>
      </c>
      <c r="N19" s="23">
        <v>37.4</v>
      </c>
      <c r="O19" s="23">
        <v>46.2</v>
      </c>
      <c r="P19" s="23">
        <v>57.2</v>
      </c>
      <c r="Q19" s="24" t="s">
        <v>37</v>
      </c>
    </row>
    <row r="20" spans="1:17" ht="20.100000000000001" customHeight="1">
      <c r="A20" s="4"/>
      <c r="B20" s="4"/>
      <c r="C20" s="4"/>
      <c r="D20" s="4"/>
      <c r="E20" s="4"/>
      <c r="F20" s="22" t="s">
        <v>22</v>
      </c>
      <c r="G20" s="23">
        <v>710</v>
      </c>
      <c r="H20" s="23">
        <v>1065</v>
      </c>
      <c r="I20" s="23">
        <v>350</v>
      </c>
      <c r="J20" s="23">
        <v>792</v>
      </c>
      <c r="K20" s="23">
        <v>17.399999999999999</v>
      </c>
      <c r="L20" s="23">
        <v>25.7</v>
      </c>
      <c r="M20" s="23">
        <v>33.9</v>
      </c>
      <c r="N20" s="23">
        <v>42.1</v>
      </c>
      <c r="O20" s="23">
        <v>52.2</v>
      </c>
      <c r="P20" s="23" t="s">
        <v>37</v>
      </c>
      <c r="Q20" s="24" t="s">
        <v>37</v>
      </c>
    </row>
    <row r="21" spans="1:17" ht="20.100000000000001" customHeight="1">
      <c r="A21" s="4"/>
      <c r="B21" s="4"/>
      <c r="C21" s="4"/>
      <c r="D21" s="4"/>
      <c r="E21" s="4"/>
      <c r="F21" s="22" t="s">
        <v>23</v>
      </c>
      <c r="G21" s="23">
        <v>800</v>
      </c>
      <c r="H21" s="23">
        <v>1200</v>
      </c>
      <c r="I21" s="23">
        <v>350</v>
      </c>
      <c r="J21" s="23">
        <v>847</v>
      </c>
      <c r="K21" s="23">
        <v>19.600000000000001</v>
      </c>
      <c r="L21" s="23">
        <v>29</v>
      </c>
      <c r="M21" s="23">
        <v>38.1</v>
      </c>
      <c r="N21" s="23">
        <v>47.4</v>
      </c>
      <c r="O21" s="23">
        <v>58.8</v>
      </c>
      <c r="P21" s="23" t="s">
        <v>37</v>
      </c>
      <c r="Q21" s="24" t="s">
        <v>37</v>
      </c>
    </row>
    <row r="22" spans="1:17" ht="20.100000000000001" customHeight="1">
      <c r="A22" s="4"/>
      <c r="B22" s="4"/>
      <c r="C22" s="4"/>
      <c r="D22" s="4"/>
      <c r="E22" s="4"/>
      <c r="F22" s="22" t="s">
        <v>24</v>
      </c>
      <c r="G22" s="23">
        <v>900</v>
      </c>
      <c r="H22" s="23">
        <v>1350</v>
      </c>
      <c r="I22" s="23">
        <v>400</v>
      </c>
      <c r="J22" s="23">
        <v>960</v>
      </c>
      <c r="K22" s="23">
        <v>22</v>
      </c>
      <c r="L22" s="23">
        <v>32.6</v>
      </c>
      <c r="M22" s="23">
        <v>42.9</v>
      </c>
      <c r="N22" s="23">
        <v>53.3</v>
      </c>
      <c r="O22" s="23" t="s">
        <v>37</v>
      </c>
      <c r="P22" s="23" t="s">
        <v>37</v>
      </c>
      <c r="Q22" s="24" t="s">
        <v>37</v>
      </c>
    </row>
    <row r="23" spans="1:17" ht="20.100000000000001" customHeight="1">
      <c r="A23" s="4"/>
      <c r="B23" s="4"/>
      <c r="C23" s="4"/>
      <c r="D23" s="4"/>
      <c r="E23" s="4"/>
      <c r="F23" s="22" t="s">
        <v>25</v>
      </c>
      <c r="G23" s="23">
        <v>1000</v>
      </c>
      <c r="H23" s="23">
        <v>1500</v>
      </c>
      <c r="I23" s="23">
        <v>400</v>
      </c>
      <c r="J23" s="23">
        <v>1022</v>
      </c>
      <c r="K23" s="23">
        <v>24.5</v>
      </c>
      <c r="L23" s="23">
        <v>36.200000000000003</v>
      </c>
      <c r="M23" s="23">
        <v>47.7</v>
      </c>
      <c r="N23" s="23">
        <v>59.3</v>
      </c>
      <c r="O23" s="23" t="s">
        <v>37</v>
      </c>
      <c r="P23" s="23" t="s">
        <v>37</v>
      </c>
      <c r="Q23" s="24" t="s">
        <v>37</v>
      </c>
    </row>
    <row r="24" spans="1:17" ht="20.100000000000001" customHeight="1">
      <c r="A24" s="4"/>
      <c r="B24" s="4"/>
      <c r="C24" s="4"/>
      <c r="D24" s="4"/>
      <c r="E24" s="4"/>
      <c r="F24" s="22" t="s">
        <v>26</v>
      </c>
      <c r="G24" s="23">
        <v>1200</v>
      </c>
      <c r="H24" s="23">
        <v>1800</v>
      </c>
      <c r="I24" s="23">
        <v>400</v>
      </c>
      <c r="J24" s="23">
        <v>1146</v>
      </c>
      <c r="K24" s="23">
        <v>29.4</v>
      </c>
      <c r="L24" s="23">
        <v>43.4</v>
      </c>
      <c r="M24" s="23">
        <v>57.2</v>
      </c>
      <c r="N24" s="23" t="s">
        <v>37</v>
      </c>
      <c r="O24" s="23" t="s">
        <v>37</v>
      </c>
      <c r="P24" s="23" t="s">
        <v>37</v>
      </c>
      <c r="Q24" s="24" t="s">
        <v>37</v>
      </c>
    </row>
    <row r="25" spans="1:17" ht="20.100000000000001" customHeight="1">
      <c r="A25" s="4"/>
      <c r="B25" s="4"/>
      <c r="C25" s="4"/>
      <c r="D25" s="4"/>
      <c r="E25" s="4"/>
      <c r="F25" s="22" t="s">
        <v>27</v>
      </c>
      <c r="G25" s="23">
        <v>1400</v>
      </c>
      <c r="H25" s="23">
        <v>2100</v>
      </c>
      <c r="I25" s="23">
        <v>400</v>
      </c>
      <c r="J25" s="23">
        <v>1270</v>
      </c>
      <c r="K25" s="23">
        <v>34.299999999999997</v>
      </c>
      <c r="L25" s="23">
        <v>50.6</v>
      </c>
      <c r="M25" s="23" t="s">
        <v>37</v>
      </c>
      <c r="N25" s="23" t="s">
        <v>37</v>
      </c>
      <c r="O25" s="23" t="s">
        <v>37</v>
      </c>
      <c r="P25" s="23" t="s">
        <v>37</v>
      </c>
      <c r="Q25" s="24" t="s">
        <v>37</v>
      </c>
    </row>
    <row r="26" spans="1:17" ht="20.100000000000001" customHeight="1">
      <c r="A26" s="4"/>
      <c r="B26" s="4"/>
      <c r="C26" s="4"/>
      <c r="D26" s="4"/>
      <c r="E26" s="4"/>
      <c r="F26" s="26" t="s">
        <v>28</v>
      </c>
      <c r="G26" s="27">
        <v>1600</v>
      </c>
      <c r="H26" s="27">
        <v>2400</v>
      </c>
      <c r="I26" s="27">
        <v>400</v>
      </c>
      <c r="J26" s="27">
        <v>1394</v>
      </c>
      <c r="K26" s="27">
        <v>39.200000000000003</v>
      </c>
      <c r="L26" s="27">
        <v>57.9</v>
      </c>
      <c r="M26" s="27" t="s">
        <v>37</v>
      </c>
      <c r="N26" s="27" t="s">
        <v>37</v>
      </c>
      <c r="O26" s="27" t="s">
        <v>37</v>
      </c>
      <c r="P26" s="27" t="s">
        <v>37</v>
      </c>
      <c r="Q26" s="28" t="s">
        <v>37</v>
      </c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</sheetData>
  <mergeCells count="10">
    <mergeCell ref="B1:E1"/>
    <mergeCell ref="B14:D14"/>
    <mergeCell ref="C19:D19"/>
    <mergeCell ref="C18:D18"/>
    <mergeCell ref="C17:D17"/>
    <mergeCell ref="C16:D16"/>
    <mergeCell ref="C15:D15"/>
    <mergeCell ref="C3:D3"/>
    <mergeCell ref="C12:D12"/>
    <mergeCell ref="C11:D11"/>
  </mergeCells>
  <dataValidations count="2">
    <dataValidation type="list" sqref="C4" xr:uid="{00000000-0002-0000-0400-000000000000}">
      <formula1>"PN4,PN6,PN8,PN10,PN12,5,PN16,PN20"</formula1>
    </dataValidation>
    <dataValidation type="list" sqref="C5" xr:uid="{00000000-0002-0000-0400-000001000000}">
      <formula1>"110,125,140,160,180,200,225,250,280,315,355,400,450,500,560,630,710,800,900,1000,1200,1400,1600"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0"/>
  <sheetViews>
    <sheetView workbookViewId="0">
      <selection activeCell="C11" sqref="C11:D11"/>
    </sheetView>
  </sheetViews>
  <sheetFormatPr baseColWidth="10" defaultColWidth="9" defaultRowHeight="14.25"/>
  <cols>
    <col min="2" max="2" width="20" customWidth="1"/>
    <col min="3" max="4" width="18" customWidth="1"/>
    <col min="6" max="6" width="12" customWidth="1"/>
    <col min="7" max="17" width="11" customWidth="1"/>
  </cols>
  <sheetData>
    <row r="1" spans="1:17" ht="20.100000000000001" customHeight="1">
      <c r="A1" s="4"/>
      <c r="B1" s="31" t="s">
        <v>89</v>
      </c>
      <c r="C1" s="31"/>
      <c r="D1" s="31"/>
      <c r="E1" s="3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20.100000000000001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0.100000000000001" customHeight="1">
      <c r="A3" s="4"/>
      <c r="B3" s="1" t="s">
        <v>39</v>
      </c>
      <c r="C3" s="40" t="s">
        <v>69</v>
      </c>
      <c r="D3" s="41"/>
      <c r="E3" s="4"/>
      <c r="F3" s="1" t="s">
        <v>1</v>
      </c>
      <c r="G3" s="2" t="s">
        <v>0</v>
      </c>
      <c r="H3" s="2" t="s">
        <v>70</v>
      </c>
      <c r="I3" s="2" t="s">
        <v>71</v>
      </c>
      <c r="J3" s="2" t="s">
        <v>72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3" t="s">
        <v>35</v>
      </c>
    </row>
    <row r="4" spans="1:17" ht="20.100000000000001" customHeight="1">
      <c r="A4" s="4"/>
      <c r="B4" s="20" t="s">
        <v>73</v>
      </c>
      <c r="C4" s="21" t="s">
        <v>32</v>
      </c>
      <c r="D4" s="16"/>
      <c r="E4" s="4"/>
      <c r="F4" s="22" t="s">
        <v>9</v>
      </c>
      <c r="G4" s="23">
        <v>110</v>
      </c>
      <c r="H4" s="23">
        <v>165</v>
      </c>
      <c r="I4" s="23">
        <v>150</v>
      </c>
      <c r="J4" s="23">
        <v>245</v>
      </c>
      <c r="K4" s="23">
        <v>2.7</v>
      </c>
      <c r="L4" s="23">
        <v>4</v>
      </c>
      <c r="M4" s="23">
        <v>5.3</v>
      </c>
      <c r="N4" s="23">
        <v>6.6</v>
      </c>
      <c r="O4" s="23">
        <v>8.1</v>
      </c>
      <c r="P4" s="23">
        <v>10</v>
      </c>
      <c r="Q4" s="24">
        <v>12.3</v>
      </c>
    </row>
    <row r="5" spans="1:17" ht="20.100000000000001" customHeight="1">
      <c r="A5" s="4"/>
      <c r="B5" s="20" t="s">
        <v>74</v>
      </c>
      <c r="C5" s="21">
        <v>110</v>
      </c>
      <c r="D5" s="16" t="s">
        <v>47</v>
      </c>
      <c r="E5" s="4"/>
      <c r="F5" s="22" t="s">
        <v>10</v>
      </c>
      <c r="G5" s="23">
        <v>125</v>
      </c>
      <c r="H5" s="23">
        <v>188</v>
      </c>
      <c r="I5" s="23">
        <v>150</v>
      </c>
      <c r="J5" s="23">
        <v>258</v>
      </c>
      <c r="K5" s="23">
        <v>3.1</v>
      </c>
      <c r="L5" s="23">
        <v>4.5999999999999996</v>
      </c>
      <c r="M5" s="23">
        <v>6</v>
      </c>
      <c r="N5" s="23">
        <v>7.4</v>
      </c>
      <c r="O5" s="23">
        <v>9.1999999999999993</v>
      </c>
      <c r="P5" s="23">
        <v>11.4</v>
      </c>
      <c r="Q5" s="24">
        <v>14</v>
      </c>
    </row>
    <row r="6" spans="1:17" ht="20.100000000000001" customHeight="1">
      <c r="A6" s="4"/>
      <c r="B6" s="20" t="s">
        <v>70</v>
      </c>
      <c r="C6" s="15">
        <f>VLOOKUP(C5,$G$4:$Q$26,2,FALSE)</f>
        <v>165</v>
      </c>
      <c r="D6" s="16" t="s">
        <v>47</v>
      </c>
      <c r="E6" s="4"/>
      <c r="F6" s="22" t="s">
        <v>11</v>
      </c>
      <c r="G6" s="23">
        <v>140</v>
      </c>
      <c r="H6" s="23">
        <v>210</v>
      </c>
      <c r="I6" s="23">
        <v>150</v>
      </c>
      <c r="J6" s="23">
        <v>271</v>
      </c>
      <c r="K6" s="23">
        <v>3.5</v>
      </c>
      <c r="L6" s="23">
        <v>5.0999999999999996</v>
      </c>
      <c r="M6" s="23">
        <v>6.7</v>
      </c>
      <c r="N6" s="23">
        <v>8.3000000000000007</v>
      </c>
      <c r="O6" s="23">
        <v>10.3</v>
      </c>
      <c r="P6" s="23">
        <v>12.7</v>
      </c>
      <c r="Q6" s="24">
        <v>15.7</v>
      </c>
    </row>
    <row r="7" spans="1:17" ht="20.100000000000001" customHeight="1">
      <c r="A7" s="4"/>
      <c r="B7" s="20" t="s">
        <v>75</v>
      </c>
      <c r="C7" s="15">
        <f>VLOOKUP(C5,$G$4:$Q$26,3,FALSE)</f>
        <v>150</v>
      </c>
      <c r="D7" s="16" t="s">
        <v>47</v>
      </c>
      <c r="E7" s="4"/>
      <c r="F7" s="22" t="s">
        <v>12</v>
      </c>
      <c r="G7" s="23">
        <v>160</v>
      </c>
      <c r="H7" s="23">
        <v>240</v>
      </c>
      <c r="I7" s="23">
        <v>150</v>
      </c>
      <c r="J7" s="23">
        <v>288</v>
      </c>
      <c r="K7" s="23">
        <v>4</v>
      </c>
      <c r="L7" s="23">
        <v>5.8</v>
      </c>
      <c r="M7" s="23">
        <v>7.7</v>
      </c>
      <c r="N7" s="23">
        <v>9.5</v>
      </c>
      <c r="O7" s="23">
        <v>11.8</v>
      </c>
      <c r="P7" s="23">
        <v>14.6</v>
      </c>
      <c r="Q7" s="24">
        <v>17.899999999999999</v>
      </c>
    </row>
    <row r="8" spans="1:17" ht="20.100000000000001" customHeight="1">
      <c r="A8" s="4"/>
      <c r="B8" s="20" t="s">
        <v>76</v>
      </c>
      <c r="C8" s="15">
        <f>VLOOKUP(C5,$G$4:$Q$26,4,FALSE)</f>
        <v>245</v>
      </c>
      <c r="D8" s="16" t="s">
        <v>47</v>
      </c>
      <c r="E8" s="4"/>
      <c r="F8" s="22" t="s">
        <v>12</v>
      </c>
      <c r="G8" s="23">
        <v>180</v>
      </c>
      <c r="H8" s="23">
        <v>270</v>
      </c>
      <c r="I8" s="23">
        <v>150</v>
      </c>
      <c r="J8" s="23">
        <v>305</v>
      </c>
      <c r="K8" s="23">
        <v>4.4000000000000004</v>
      </c>
      <c r="L8" s="23">
        <v>6.6</v>
      </c>
      <c r="M8" s="23">
        <v>8.6</v>
      </c>
      <c r="N8" s="23">
        <v>10.7</v>
      </c>
      <c r="O8" s="23">
        <v>13.3</v>
      </c>
      <c r="P8" s="23">
        <v>16.399999999999999</v>
      </c>
      <c r="Q8" s="24">
        <v>20.100000000000001</v>
      </c>
    </row>
    <row r="9" spans="1:17" ht="20.100000000000001" customHeight="1">
      <c r="A9" s="4"/>
      <c r="B9" s="20" t="s">
        <v>77</v>
      </c>
      <c r="C9" s="15">
        <f>IF(C4="PN4",VLOOKUP(C5,$G$4:$Q$26,5,FALSE),IF(C4="PN6",VLOOKUP(C5,$G$4:$Q$26,6,FALSE),IF(C4="PN8",VLOOKUP(C5,$G$4:$Q$26,7,FALSE),IF(C4="PN10",VLOOKUP(C5,$G$4:$Q$26,8,FALSE),IF(C4="PN12,5",VLOOKUP(C5,$G$4:$Q$26,9,FALSE),IF(C4="PN16",VLOOKUP(C5,$G$4:$Q$26,10,FALSE),VLOOKUP(C5,$G$4:$Q$26,11,FALSE)))))))</f>
        <v>6.6</v>
      </c>
      <c r="D9" s="16"/>
      <c r="E9" s="4"/>
      <c r="F9" s="22" t="s">
        <v>13</v>
      </c>
      <c r="G9" s="23">
        <v>200</v>
      </c>
      <c r="H9" s="23">
        <v>300</v>
      </c>
      <c r="I9" s="23">
        <v>150</v>
      </c>
      <c r="J9" s="23">
        <v>323</v>
      </c>
      <c r="K9" s="23">
        <v>4.9000000000000004</v>
      </c>
      <c r="L9" s="23">
        <v>7.3</v>
      </c>
      <c r="M9" s="23">
        <v>9.6</v>
      </c>
      <c r="N9" s="23">
        <v>11.9</v>
      </c>
      <c r="O9" s="23">
        <v>14.7</v>
      </c>
      <c r="P9" s="23">
        <v>18.2</v>
      </c>
      <c r="Q9" s="24">
        <v>22.4</v>
      </c>
    </row>
    <row r="10" spans="1:17" ht="20.100000000000001" customHeight="1">
      <c r="A10" s="4"/>
      <c r="B10" s="20" t="s">
        <v>53</v>
      </c>
      <c r="C10" s="15">
        <f>IF(C4="PN4",41,IF(C4="PN6",27.6,IF(C4="PN8",21,IF(C4="PN10",17,IF(C4="PN12,5",13.6,IF(C4="PN16",11,9))))))</f>
        <v>17</v>
      </c>
      <c r="D10" s="16" t="s">
        <v>47</v>
      </c>
      <c r="E10" s="4"/>
      <c r="F10" s="22" t="s">
        <v>13</v>
      </c>
      <c r="G10" s="23">
        <v>225</v>
      </c>
      <c r="H10" s="23">
        <v>338</v>
      </c>
      <c r="I10" s="23">
        <v>150</v>
      </c>
      <c r="J10" s="23">
        <v>345</v>
      </c>
      <c r="K10" s="23">
        <v>5.5</v>
      </c>
      <c r="L10" s="23">
        <v>8.1999999999999993</v>
      </c>
      <c r="M10" s="23">
        <v>10.8</v>
      </c>
      <c r="N10" s="23">
        <v>13.4</v>
      </c>
      <c r="O10" s="23">
        <v>16.600000000000001</v>
      </c>
      <c r="P10" s="23">
        <v>20.5</v>
      </c>
      <c r="Q10" s="24">
        <v>25.2</v>
      </c>
    </row>
    <row r="11" spans="1:17" ht="20.100000000000001" customHeight="1">
      <c r="A11" s="4"/>
      <c r="B11" s="20" t="s">
        <v>78</v>
      </c>
      <c r="C11" s="44">
        <f>IF(ISNUMBER(C9),C5-2*C9,"N/D")</f>
        <v>96.8</v>
      </c>
      <c r="D11" s="45"/>
      <c r="E11" s="4"/>
      <c r="F11" s="22" t="s">
        <v>14</v>
      </c>
      <c r="G11" s="23">
        <v>250</v>
      </c>
      <c r="H11" s="23">
        <v>375</v>
      </c>
      <c r="I11" s="23">
        <v>250</v>
      </c>
      <c r="J11" s="23">
        <v>466</v>
      </c>
      <c r="K11" s="23">
        <v>6.2</v>
      </c>
      <c r="L11" s="23">
        <v>9.1</v>
      </c>
      <c r="M11" s="23">
        <v>11.9</v>
      </c>
      <c r="N11" s="23">
        <v>14.8</v>
      </c>
      <c r="O11" s="23">
        <v>18.399999999999999</v>
      </c>
      <c r="P11" s="23">
        <v>22.7</v>
      </c>
      <c r="Q11" s="24">
        <v>27.9</v>
      </c>
    </row>
    <row r="12" spans="1:17" ht="20.100000000000001" customHeight="1">
      <c r="A12" s="4"/>
      <c r="B12" s="25" t="s">
        <v>55</v>
      </c>
      <c r="C12" s="42" t="s">
        <v>90</v>
      </c>
      <c r="D12" s="43"/>
      <c r="E12" s="4"/>
      <c r="F12" s="22" t="s">
        <v>14</v>
      </c>
      <c r="G12" s="23">
        <v>280</v>
      </c>
      <c r="H12" s="23">
        <v>420</v>
      </c>
      <c r="I12" s="23">
        <v>250</v>
      </c>
      <c r="J12" s="23">
        <v>492</v>
      </c>
      <c r="K12" s="23">
        <v>6.9</v>
      </c>
      <c r="L12" s="23">
        <v>10.199999999999999</v>
      </c>
      <c r="M12" s="23">
        <v>13.4</v>
      </c>
      <c r="N12" s="23">
        <v>16.600000000000001</v>
      </c>
      <c r="O12" s="23">
        <v>20.6</v>
      </c>
      <c r="P12" s="23">
        <v>25.4</v>
      </c>
      <c r="Q12" s="24">
        <v>31.3</v>
      </c>
    </row>
    <row r="13" spans="1:17" ht="20.100000000000001" customHeight="1">
      <c r="A13" s="4"/>
      <c r="B13" s="4"/>
      <c r="C13" s="4"/>
      <c r="D13" s="4"/>
      <c r="E13" s="4"/>
      <c r="F13" s="22" t="s">
        <v>15</v>
      </c>
      <c r="G13" s="23">
        <v>315</v>
      </c>
      <c r="H13" s="23">
        <v>473</v>
      </c>
      <c r="I13" s="23">
        <v>300</v>
      </c>
      <c r="J13" s="23">
        <v>576</v>
      </c>
      <c r="K13" s="23">
        <v>7.7</v>
      </c>
      <c r="L13" s="23">
        <v>11.4</v>
      </c>
      <c r="M13" s="23">
        <v>15</v>
      </c>
      <c r="N13" s="23">
        <v>18.7</v>
      </c>
      <c r="O13" s="23">
        <v>23.2</v>
      </c>
      <c r="P13" s="23">
        <v>28.6</v>
      </c>
      <c r="Q13" s="24">
        <v>35.200000000000003</v>
      </c>
    </row>
    <row r="14" spans="1:17" ht="20.100000000000001" customHeight="1">
      <c r="A14" s="4"/>
      <c r="B14" s="31" t="s">
        <v>80</v>
      </c>
      <c r="C14" s="31"/>
      <c r="D14" s="31"/>
      <c r="E14" s="4"/>
      <c r="F14" s="22" t="s">
        <v>16</v>
      </c>
      <c r="G14" s="23">
        <v>355</v>
      </c>
      <c r="H14" s="23">
        <v>533</v>
      </c>
      <c r="I14" s="23">
        <v>300</v>
      </c>
      <c r="J14" s="23">
        <v>608</v>
      </c>
      <c r="K14" s="23">
        <v>8.6999999999999993</v>
      </c>
      <c r="L14" s="23">
        <v>12.9</v>
      </c>
      <c r="M14" s="23">
        <v>16.899999999999999</v>
      </c>
      <c r="N14" s="23">
        <v>21.1</v>
      </c>
      <c r="O14" s="23">
        <v>26.1</v>
      </c>
      <c r="P14" s="23">
        <v>32.200000000000003</v>
      </c>
      <c r="Q14" s="24">
        <v>39.700000000000003</v>
      </c>
    </row>
    <row r="15" spans="1:17" ht="15">
      <c r="A15" s="4"/>
      <c r="B15" s="11" t="s">
        <v>62</v>
      </c>
      <c r="C15" s="34" t="s">
        <v>81</v>
      </c>
      <c r="D15" s="35"/>
      <c r="E15" s="4"/>
      <c r="F15" s="22" t="s">
        <v>17</v>
      </c>
      <c r="G15" s="23">
        <v>400</v>
      </c>
      <c r="H15" s="23">
        <v>600</v>
      </c>
      <c r="I15" s="23">
        <v>300</v>
      </c>
      <c r="J15" s="23">
        <v>646</v>
      </c>
      <c r="K15" s="23">
        <v>9.8000000000000007</v>
      </c>
      <c r="L15" s="23">
        <v>14.5</v>
      </c>
      <c r="M15" s="23">
        <v>19.100000000000001</v>
      </c>
      <c r="N15" s="23">
        <v>23.7</v>
      </c>
      <c r="O15" s="23">
        <v>29.4</v>
      </c>
      <c r="P15" s="23">
        <v>36.299999999999997</v>
      </c>
      <c r="Q15" s="24">
        <v>44.7</v>
      </c>
    </row>
    <row r="16" spans="1:17" ht="15">
      <c r="A16" s="4"/>
      <c r="B16" s="14" t="s">
        <v>58</v>
      </c>
      <c r="C16" s="36" t="s">
        <v>82</v>
      </c>
      <c r="D16" s="37"/>
      <c r="E16" s="4"/>
      <c r="F16" s="22" t="s">
        <v>18</v>
      </c>
      <c r="G16" s="23">
        <v>450</v>
      </c>
      <c r="H16" s="23">
        <v>675</v>
      </c>
      <c r="I16" s="23">
        <v>300</v>
      </c>
      <c r="J16" s="23">
        <v>689</v>
      </c>
      <c r="K16" s="23">
        <v>11</v>
      </c>
      <c r="L16" s="23">
        <v>16.3</v>
      </c>
      <c r="M16" s="23">
        <v>21.5</v>
      </c>
      <c r="N16" s="23">
        <v>26.7</v>
      </c>
      <c r="O16" s="23">
        <v>33.1</v>
      </c>
      <c r="P16" s="23">
        <v>40.9</v>
      </c>
      <c r="Q16" s="24">
        <v>50.3</v>
      </c>
    </row>
    <row r="17" spans="1:17" ht="15">
      <c r="A17" s="4"/>
      <c r="B17" s="14" t="s">
        <v>60</v>
      </c>
      <c r="C17" s="36" t="s">
        <v>83</v>
      </c>
      <c r="D17" s="37"/>
      <c r="E17" s="4"/>
      <c r="F17" s="22" t="s">
        <v>19</v>
      </c>
      <c r="G17" s="23">
        <v>500</v>
      </c>
      <c r="H17" s="23">
        <v>750</v>
      </c>
      <c r="I17" s="23">
        <v>350</v>
      </c>
      <c r="J17" s="23">
        <v>783</v>
      </c>
      <c r="K17" s="23">
        <v>12.3</v>
      </c>
      <c r="L17" s="23">
        <v>18.100000000000001</v>
      </c>
      <c r="M17" s="23">
        <v>23.9</v>
      </c>
      <c r="N17" s="23">
        <v>29.7</v>
      </c>
      <c r="O17" s="23">
        <v>36.799999999999997</v>
      </c>
      <c r="P17" s="23">
        <v>45.4</v>
      </c>
      <c r="Q17" s="24">
        <v>55.8</v>
      </c>
    </row>
    <row r="18" spans="1:17" ht="15">
      <c r="A18" s="4"/>
      <c r="B18" s="14" t="s">
        <v>84</v>
      </c>
      <c r="C18" s="36" t="s">
        <v>85</v>
      </c>
      <c r="D18" s="37"/>
      <c r="E18" s="4"/>
      <c r="F18" s="22" t="s">
        <v>20</v>
      </c>
      <c r="G18" s="23">
        <v>560</v>
      </c>
      <c r="H18" s="23">
        <v>840</v>
      </c>
      <c r="I18" s="23">
        <v>350</v>
      </c>
      <c r="J18" s="23">
        <v>835</v>
      </c>
      <c r="K18" s="23">
        <v>13.7</v>
      </c>
      <c r="L18" s="23">
        <v>20.3</v>
      </c>
      <c r="M18" s="23">
        <v>26.7</v>
      </c>
      <c r="N18" s="23">
        <v>33.200000000000003</v>
      </c>
      <c r="O18" s="23">
        <v>41.2</v>
      </c>
      <c r="P18" s="23">
        <v>50.8</v>
      </c>
      <c r="Q18" s="24" t="s">
        <v>37</v>
      </c>
    </row>
    <row r="19" spans="1:17" ht="15">
      <c r="A19" s="4"/>
      <c r="B19" s="17" t="s">
        <v>8</v>
      </c>
      <c r="C19" s="38" t="s">
        <v>91</v>
      </c>
      <c r="D19" s="39"/>
      <c r="E19" s="4"/>
      <c r="F19" s="22" t="s">
        <v>21</v>
      </c>
      <c r="G19" s="23">
        <v>630</v>
      </c>
      <c r="H19" s="23">
        <v>945</v>
      </c>
      <c r="I19" s="23">
        <v>350</v>
      </c>
      <c r="J19" s="23">
        <v>896</v>
      </c>
      <c r="K19" s="23">
        <v>15.4</v>
      </c>
      <c r="L19" s="23">
        <v>22.8</v>
      </c>
      <c r="M19" s="23">
        <v>30</v>
      </c>
      <c r="N19" s="23">
        <v>37.4</v>
      </c>
      <c r="O19" s="23">
        <v>46.2</v>
      </c>
      <c r="P19" s="23">
        <v>57.2</v>
      </c>
      <c r="Q19" s="24" t="s">
        <v>37</v>
      </c>
    </row>
    <row r="20" spans="1:17" ht="20.100000000000001" customHeight="1">
      <c r="A20" s="4"/>
      <c r="B20" s="4"/>
      <c r="C20" s="4"/>
      <c r="D20" s="4"/>
      <c r="E20" s="4"/>
      <c r="F20" s="22" t="s">
        <v>22</v>
      </c>
      <c r="G20" s="23">
        <v>710</v>
      </c>
      <c r="H20" s="23">
        <v>1065</v>
      </c>
      <c r="I20" s="23">
        <v>350</v>
      </c>
      <c r="J20" s="23">
        <v>965</v>
      </c>
      <c r="K20" s="23">
        <v>17.399999999999999</v>
      </c>
      <c r="L20" s="23">
        <v>25.7</v>
      </c>
      <c r="M20" s="23">
        <v>33.9</v>
      </c>
      <c r="N20" s="23">
        <v>42.1</v>
      </c>
      <c r="O20" s="23">
        <v>52.2</v>
      </c>
      <c r="P20" s="23" t="s">
        <v>37</v>
      </c>
      <c r="Q20" s="24" t="s">
        <v>37</v>
      </c>
    </row>
    <row r="21" spans="1:17" ht="20.100000000000001" customHeight="1">
      <c r="A21" s="4"/>
      <c r="B21" s="4"/>
      <c r="C21" s="4"/>
      <c r="D21" s="4"/>
      <c r="E21" s="4"/>
      <c r="F21" s="22" t="s">
        <v>23</v>
      </c>
      <c r="G21" s="23">
        <v>800</v>
      </c>
      <c r="H21" s="23">
        <v>1200</v>
      </c>
      <c r="I21" s="23">
        <v>350</v>
      </c>
      <c r="J21" s="23">
        <v>1043</v>
      </c>
      <c r="K21" s="23">
        <v>19.600000000000001</v>
      </c>
      <c r="L21" s="23">
        <v>29</v>
      </c>
      <c r="M21" s="23">
        <v>38.1</v>
      </c>
      <c r="N21" s="23">
        <v>47.4</v>
      </c>
      <c r="O21" s="23">
        <v>58.8</v>
      </c>
      <c r="P21" s="23" t="s">
        <v>37</v>
      </c>
      <c r="Q21" s="24" t="s">
        <v>37</v>
      </c>
    </row>
    <row r="22" spans="1:17" ht="20.100000000000001" customHeight="1">
      <c r="A22" s="4"/>
      <c r="B22" s="4"/>
      <c r="C22" s="4"/>
      <c r="D22" s="4"/>
      <c r="E22" s="4"/>
      <c r="F22" s="22" t="s">
        <v>24</v>
      </c>
      <c r="G22" s="23">
        <v>900</v>
      </c>
      <c r="H22" s="23">
        <v>1350</v>
      </c>
      <c r="I22" s="23">
        <v>400</v>
      </c>
      <c r="J22" s="23">
        <v>1179</v>
      </c>
      <c r="K22" s="23">
        <v>22</v>
      </c>
      <c r="L22" s="23">
        <v>32.6</v>
      </c>
      <c r="M22" s="23">
        <v>42.9</v>
      </c>
      <c r="N22" s="23">
        <v>53.3</v>
      </c>
      <c r="O22" s="23" t="s">
        <v>37</v>
      </c>
      <c r="P22" s="23" t="s">
        <v>37</v>
      </c>
      <c r="Q22" s="24" t="s">
        <v>37</v>
      </c>
    </row>
    <row r="23" spans="1:17" ht="20.100000000000001" customHeight="1">
      <c r="A23" s="4"/>
      <c r="B23" s="4"/>
      <c r="C23" s="4"/>
      <c r="D23" s="4"/>
      <c r="E23" s="4"/>
      <c r="F23" s="22" t="s">
        <v>25</v>
      </c>
      <c r="G23" s="23">
        <v>1000</v>
      </c>
      <c r="H23" s="23">
        <v>1500</v>
      </c>
      <c r="I23" s="23">
        <v>400</v>
      </c>
      <c r="J23" s="23">
        <v>1266</v>
      </c>
      <c r="K23" s="23">
        <v>24.5</v>
      </c>
      <c r="L23" s="23">
        <v>36.200000000000003</v>
      </c>
      <c r="M23" s="23">
        <v>47.7</v>
      </c>
      <c r="N23" s="23">
        <v>59.3</v>
      </c>
      <c r="O23" s="23" t="s">
        <v>37</v>
      </c>
      <c r="P23" s="23" t="s">
        <v>37</v>
      </c>
      <c r="Q23" s="24" t="s">
        <v>37</v>
      </c>
    </row>
    <row r="24" spans="1:17" ht="20.100000000000001" customHeight="1">
      <c r="A24" s="4"/>
      <c r="B24" s="4"/>
      <c r="C24" s="4"/>
      <c r="D24" s="4"/>
      <c r="E24" s="4"/>
      <c r="F24" s="22" t="s">
        <v>26</v>
      </c>
      <c r="G24" s="23">
        <v>1200</v>
      </c>
      <c r="H24" s="23">
        <v>1800</v>
      </c>
      <c r="I24" s="23">
        <v>400</v>
      </c>
      <c r="J24" s="23">
        <v>1439</v>
      </c>
      <c r="K24" s="23">
        <v>29.4</v>
      </c>
      <c r="L24" s="23">
        <v>43.4</v>
      </c>
      <c r="M24" s="23">
        <v>57.2</v>
      </c>
      <c r="N24" s="23" t="s">
        <v>37</v>
      </c>
      <c r="O24" s="23" t="s">
        <v>37</v>
      </c>
      <c r="P24" s="23" t="s">
        <v>37</v>
      </c>
      <c r="Q24" s="24" t="s">
        <v>37</v>
      </c>
    </row>
    <row r="25" spans="1:17" ht="20.100000000000001" customHeight="1">
      <c r="A25" s="4"/>
      <c r="B25" s="4"/>
      <c r="C25" s="4"/>
      <c r="D25" s="4"/>
      <c r="E25" s="4"/>
      <c r="F25" s="22" t="s">
        <v>27</v>
      </c>
      <c r="G25" s="23">
        <v>1400</v>
      </c>
      <c r="H25" s="23">
        <v>2100</v>
      </c>
      <c r="I25" s="23">
        <v>400</v>
      </c>
      <c r="J25" s="23">
        <v>1612</v>
      </c>
      <c r="K25" s="23">
        <v>34.299999999999997</v>
      </c>
      <c r="L25" s="23">
        <v>50.6</v>
      </c>
      <c r="M25" s="23" t="s">
        <v>37</v>
      </c>
      <c r="N25" s="23" t="s">
        <v>37</v>
      </c>
      <c r="O25" s="23" t="s">
        <v>37</v>
      </c>
      <c r="P25" s="23" t="s">
        <v>37</v>
      </c>
      <c r="Q25" s="24" t="s">
        <v>37</v>
      </c>
    </row>
    <row r="26" spans="1:17" ht="20.100000000000001" customHeight="1">
      <c r="A26" s="4"/>
      <c r="B26" s="4"/>
      <c r="C26" s="4"/>
      <c r="D26" s="4"/>
      <c r="E26" s="4"/>
      <c r="F26" s="26" t="s">
        <v>28</v>
      </c>
      <c r="G26" s="27">
        <v>1600</v>
      </c>
      <c r="H26" s="27">
        <v>2400</v>
      </c>
      <c r="I26" s="27">
        <v>400</v>
      </c>
      <c r="J26" s="27">
        <v>1786</v>
      </c>
      <c r="K26" s="27">
        <v>39.200000000000003</v>
      </c>
      <c r="L26" s="27">
        <v>57.9</v>
      </c>
      <c r="M26" s="27" t="s">
        <v>37</v>
      </c>
      <c r="N26" s="27" t="s">
        <v>37</v>
      </c>
      <c r="O26" s="27" t="s">
        <v>37</v>
      </c>
      <c r="P26" s="27" t="s">
        <v>37</v>
      </c>
      <c r="Q26" s="28" t="s">
        <v>37</v>
      </c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</sheetData>
  <mergeCells count="10">
    <mergeCell ref="B1:E1"/>
    <mergeCell ref="B14:D14"/>
    <mergeCell ref="C3:D3"/>
    <mergeCell ref="C12:D12"/>
    <mergeCell ref="C19:D19"/>
    <mergeCell ref="C18:D18"/>
    <mergeCell ref="C17:D17"/>
    <mergeCell ref="C16:D16"/>
    <mergeCell ref="C15:D15"/>
    <mergeCell ref="C11:D11"/>
  </mergeCells>
  <dataValidations count="2">
    <dataValidation type="list" sqref="C4" xr:uid="{00000000-0002-0000-0500-000000000000}">
      <formula1>"PN4,PN6,PN8,PN10,PN12,5,PN16,PN20"</formula1>
    </dataValidation>
    <dataValidation type="list" sqref="C5" xr:uid="{00000000-0002-0000-0500-000001000000}">
      <formula1>"110,125,140,160,180,200,225,250,280,315,355,400,450,500,560,630,710,800,900,1000,1200,1400,1600"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0"/>
  <sheetViews>
    <sheetView topLeftCell="A2" workbookViewId="0">
      <selection activeCell="B21" sqref="B21"/>
    </sheetView>
  </sheetViews>
  <sheetFormatPr baseColWidth="10" defaultColWidth="9" defaultRowHeight="14.25"/>
  <cols>
    <col min="2" max="2" width="20" customWidth="1"/>
    <col min="3" max="4" width="18" customWidth="1"/>
    <col min="6" max="6" width="12" customWidth="1"/>
    <col min="7" max="17" width="11" customWidth="1"/>
  </cols>
  <sheetData>
    <row r="1" spans="1:17" ht="20.100000000000001" customHeight="1">
      <c r="A1" s="4"/>
      <c r="B1" s="31" t="s">
        <v>92</v>
      </c>
      <c r="C1" s="31"/>
      <c r="D1" s="31"/>
      <c r="E1" s="3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20.100000000000001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0.100000000000001" customHeight="1">
      <c r="A3" s="4"/>
      <c r="B3" s="1" t="s">
        <v>39</v>
      </c>
      <c r="C3" s="40" t="s">
        <v>69</v>
      </c>
      <c r="D3" s="41"/>
      <c r="E3" s="4"/>
      <c r="F3" s="1" t="s">
        <v>1</v>
      </c>
      <c r="G3" s="2" t="s">
        <v>0</v>
      </c>
      <c r="H3" s="2" t="s">
        <v>70</v>
      </c>
      <c r="I3" s="2" t="s">
        <v>71</v>
      </c>
      <c r="J3" s="2" t="s">
        <v>72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3" t="s">
        <v>35</v>
      </c>
    </row>
    <row r="4" spans="1:17" ht="20.100000000000001" customHeight="1">
      <c r="A4" s="4"/>
      <c r="B4" s="20" t="s">
        <v>73</v>
      </c>
      <c r="C4" s="21" t="s">
        <v>32</v>
      </c>
      <c r="D4" s="16"/>
      <c r="E4" s="4"/>
      <c r="F4" s="22" t="s">
        <v>9</v>
      </c>
      <c r="G4" s="23">
        <v>110</v>
      </c>
      <c r="H4" s="23">
        <v>165</v>
      </c>
      <c r="I4" s="23">
        <v>150</v>
      </c>
      <c r="J4" s="23">
        <v>315</v>
      </c>
      <c r="K4" s="23">
        <v>2.7</v>
      </c>
      <c r="L4" s="23">
        <v>4</v>
      </c>
      <c r="M4" s="23">
        <v>5.3</v>
      </c>
      <c r="N4" s="23">
        <v>6.6</v>
      </c>
      <c r="O4" s="23">
        <v>8.1</v>
      </c>
      <c r="P4" s="23">
        <v>10</v>
      </c>
      <c r="Q4" s="24">
        <v>12.3</v>
      </c>
    </row>
    <row r="5" spans="1:17" ht="20.100000000000001" customHeight="1">
      <c r="A5" s="4"/>
      <c r="B5" s="20" t="s">
        <v>74</v>
      </c>
      <c r="C5" s="21">
        <v>110</v>
      </c>
      <c r="D5" s="16" t="s">
        <v>47</v>
      </c>
      <c r="E5" s="4"/>
      <c r="F5" s="22" t="s">
        <v>10</v>
      </c>
      <c r="G5" s="23">
        <v>125</v>
      </c>
      <c r="H5" s="23">
        <v>188</v>
      </c>
      <c r="I5" s="23">
        <v>150</v>
      </c>
      <c r="J5" s="23">
        <v>338</v>
      </c>
      <c r="K5" s="23">
        <v>3.1</v>
      </c>
      <c r="L5" s="23">
        <v>4.5999999999999996</v>
      </c>
      <c r="M5" s="23">
        <v>6</v>
      </c>
      <c r="N5" s="23">
        <v>7.4</v>
      </c>
      <c r="O5" s="23">
        <v>9.1999999999999993</v>
      </c>
      <c r="P5" s="23">
        <v>11.4</v>
      </c>
      <c r="Q5" s="24">
        <v>14</v>
      </c>
    </row>
    <row r="6" spans="1:17" ht="20.100000000000001" customHeight="1">
      <c r="A6" s="4"/>
      <c r="B6" s="20" t="s">
        <v>70</v>
      </c>
      <c r="C6" s="15">
        <f>VLOOKUP(C5,$G$4:$Q$26,2,FALSE)</f>
        <v>165</v>
      </c>
      <c r="D6" s="16" t="s">
        <v>47</v>
      </c>
      <c r="E6" s="4"/>
      <c r="F6" s="22" t="s">
        <v>11</v>
      </c>
      <c r="G6" s="23">
        <v>140</v>
      </c>
      <c r="H6" s="23">
        <v>210</v>
      </c>
      <c r="I6" s="23">
        <v>150</v>
      </c>
      <c r="J6" s="23">
        <v>360</v>
      </c>
      <c r="K6" s="23">
        <v>3.5</v>
      </c>
      <c r="L6" s="23">
        <v>5.0999999999999996</v>
      </c>
      <c r="M6" s="23">
        <v>6.7</v>
      </c>
      <c r="N6" s="23">
        <v>8.3000000000000007</v>
      </c>
      <c r="O6" s="23">
        <v>10.3</v>
      </c>
      <c r="P6" s="23">
        <v>12.7</v>
      </c>
      <c r="Q6" s="24">
        <v>15.7</v>
      </c>
    </row>
    <row r="7" spans="1:17" ht="20.100000000000001" customHeight="1">
      <c r="A7" s="4"/>
      <c r="B7" s="20" t="s">
        <v>75</v>
      </c>
      <c r="C7" s="15">
        <f>VLOOKUP(C5,$G$4:$Q$26,3,FALSE)</f>
        <v>150</v>
      </c>
      <c r="D7" s="16" t="s">
        <v>47</v>
      </c>
      <c r="E7" s="4"/>
      <c r="F7" s="22" t="s">
        <v>12</v>
      </c>
      <c r="G7" s="23">
        <v>160</v>
      </c>
      <c r="H7" s="23">
        <v>240</v>
      </c>
      <c r="I7" s="23">
        <v>150</v>
      </c>
      <c r="J7" s="23">
        <v>390</v>
      </c>
      <c r="K7" s="23">
        <v>4</v>
      </c>
      <c r="L7" s="23">
        <v>5.8</v>
      </c>
      <c r="M7" s="23">
        <v>7.7</v>
      </c>
      <c r="N7" s="23">
        <v>9.5</v>
      </c>
      <c r="O7" s="23">
        <v>11.8</v>
      </c>
      <c r="P7" s="23">
        <v>14.6</v>
      </c>
      <c r="Q7" s="24">
        <v>17.899999999999999</v>
      </c>
    </row>
    <row r="8" spans="1:17" ht="20.100000000000001" customHeight="1">
      <c r="A8" s="4"/>
      <c r="B8" s="20" t="s">
        <v>76</v>
      </c>
      <c r="C8" s="15">
        <f>VLOOKUP(C5,$G$4:$Q$26,4,FALSE)</f>
        <v>315</v>
      </c>
      <c r="D8" s="16" t="s">
        <v>47</v>
      </c>
      <c r="E8" s="4"/>
      <c r="F8" s="22" t="s">
        <v>12</v>
      </c>
      <c r="G8" s="23">
        <v>180</v>
      </c>
      <c r="H8" s="23">
        <v>270</v>
      </c>
      <c r="I8" s="23">
        <v>150</v>
      </c>
      <c r="J8" s="23">
        <v>420</v>
      </c>
      <c r="K8" s="23">
        <v>4.4000000000000004</v>
      </c>
      <c r="L8" s="23">
        <v>6.6</v>
      </c>
      <c r="M8" s="23">
        <v>8.6</v>
      </c>
      <c r="N8" s="23">
        <v>10.7</v>
      </c>
      <c r="O8" s="23">
        <v>13.3</v>
      </c>
      <c r="P8" s="23">
        <v>16.399999999999999</v>
      </c>
      <c r="Q8" s="24">
        <v>20.100000000000001</v>
      </c>
    </row>
    <row r="9" spans="1:17" ht="20.100000000000001" customHeight="1">
      <c r="A9" s="4"/>
      <c r="B9" s="20" t="s">
        <v>77</v>
      </c>
      <c r="C9" s="15">
        <f>IF(C4="PN4",VLOOKUP(C5,$G$4:$Q$26,5,FALSE),IF(C4="PN6",VLOOKUP(C5,$G$4:$Q$26,6,FALSE),IF(C4="PN8",VLOOKUP(C5,$G$4:$Q$26,7,FALSE),IF(C4="PN10",VLOOKUP(C5,$G$4:$Q$26,8,FALSE),IF(C4="PN12,5",VLOOKUP(C5,$G$4:$Q$26,9,FALSE),IF(C4="PN16",VLOOKUP(C5,$G$4:$Q$26,10,FALSE),VLOOKUP(C5,$G$4:$Q$26,11,FALSE)))))))</f>
        <v>6.6</v>
      </c>
      <c r="D9" s="16"/>
      <c r="E9" s="4"/>
      <c r="F9" s="22" t="s">
        <v>13</v>
      </c>
      <c r="G9" s="23">
        <v>200</v>
      </c>
      <c r="H9" s="23">
        <v>300</v>
      </c>
      <c r="I9" s="23">
        <v>150</v>
      </c>
      <c r="J9" s="23">
        <v>450</v>
      </c>
      <c r="K9" s="23">
        <v>4.9000000000000004</v>
      </c>
      <c r="L9" s="23">
        <v>7.3</v>
      </c>
      <c r="M9" s="23">
        <v>9.6</v>
      </c>
      <c r="N9" s="23">
        <v>11.9</v>
      </c>
      <c r="O9" s="23">
        <v>14.7</v>
      </c>
      <c r="P9" s="23">
        <v>18.2</v>
      </c>
      <c r="Q9" s="24">
        <v>22.4</v>
      </c>
    </row>
    <row r="10" spans="1:17" ht="20.100000000000001" customHeight="1">
      <c r="A10" s="4"/>
      <c r="B10" s="20" t="s">
        <v>53</v>
      </c>
      <c r="C10" s="15">
        <f>IF(C4="PN4",41,IF(C4="PN6",27.6,IF(C4="PN8",21,IF(C4="PN10",17,IF(C4="PN12,5",13.6,IF(C4="PN16",11,9))))))</f>
        <v>17</v>
      </c>
      <c r="D10" s="16" t="s">
        <v>47</v>
      </c>
      <c r="E10" s="4"/>
      <c r="F10" s="22" t="s">
        <v>13</v>
      </c>
      <c r="G10" s="23">
        <v>225</v>
      </c>
      <c r="H10" s="23">
        <v>338</v>
      </c>
      <c r="I10" s="23">
        <v>150</v>
      </c>
      <c r="J10" s="23">
        <v>488</v>
      </c>
      <c r="K10" s="23">
        <v>5.5</v>
      </c>
      <c r="L10" s="23">
        <v>8.1999999999999993</v>
      </c>
      <c r="M10" s="23">
        <v>10.8</v>
      </c>
      <c r="N10" s="23">
        <v>13.4</v>
      </c>
      <c r="O10" s="23">
        <v>16.600000000000001</v>
      </c>
      <c r="P10" s="23">
        <v>20.5</v>
      </c>
      <c r="Q10" s="24">
        <v>25.2</v>
      </c>
    </row>
    <row r="11" spans="1:17" ht="20.100000000000001" customHeight="1">
      <c r="A11" s="4"/>
      <c r="B11" s="20" t="s">
        <v>78</v>
      </c>
      <c r="C11" s="44">
        <f>IF(ISNUMBER(C9),C5-2*C9,"N/D")</f>
        <v>96.8</v>
      </c>
      <c r="D11" s="45"/>
      <c r="E11" s="4"/>
      <c r="F11" s="22" t="s">
        <v>14</v>
      </c>
      <c r="G11" s="23">
        <v>250</v>
      </c>
      <c r="H11" s="23">
        <v>375</v>
      </c>
      <c r="I11" s="23">
        <v>250</v>
      </c>
      <c r="J11" s="23">
        <v>625</v>
      </c>
      <c r="K11" s="23">
        <v>6.2</v>
      </c>
      <c r="L11" s="23">
        <v>9.1</v>
      </c>
      <c r="M11" s="23">
        <v>11.9</v>
      </c>
      <c r="N11" s="23">
        <v>14.8</v>
      </c>
      <c r="O11" s="23">
        <v>18.399999999999999</v>
      </c>
      <c r="P11" s="23">
        <v>22.7</v>
      </c>
      <c r="Q11" s="24">
        <v>27.9</v>
      </c>
    </row>
    <row r="12" spans="1:17" ht="20.100000000000001" customHeight="1">
      <c r="A12" s="4"/>
      <c r="B12" s="25" t="s">
        <v>55</v>
      </c>
      <c r="C12" s="42" t="s">
        <v>93</v>
      </c>
      <c r="D12" s="43"/>
      <c r="E12" s="4"/>
      <c r="F12" s="22" t="s">
        <v>14</v>
      </c>
      <c r="G12" s="23">
        <v>280</v>
      </c>
      <c r="H12" s="23">
        <v>420</v>
      </c>
      <c r="I12" s="23">
        <v>250</v>
      </c>
      <c r="J12" s="23">
        <v>670</v>
      </c>
      <c r="K12" s="23">
        <v>6.9</v>
      </c>
      <c r="L12" s="23">
        <v>10.199999999999999</v>
      </c>
      <c r="M12" s="23">
        <v>13.4</v>
      </c>
      <c r="N12" s="23">
        <v>16.600000000000001</v>
      </c>
      <c r="O12" s="23">
        <v>20.6</v>
      </c>
      <c r="P12" s="23">
        <v>25.4</v>
      </c>
      <c r="Q12" s="24">
        <v>31.3</v>
      </c>
    </row>
    <row r="13" spans="1:17" ht="20.100000000000001" customHeight="1">
      <c r="A13" s="4"/>
      <c r="B13" s="4"/>
      <c r="C13" s="4"/>
      <c r="D13" s="4"/>
      <c r="E13" s="4"/>
      <c r="F13" s="22" t="s">
        <v>15</v>
      </c>
      <c r="G13" s="23">
        <v>315</v>
      </c>
      <c r="H13" s="23">
        <v>473</v>
      </c>
      <c r="I13" s="23">
        <v>300</v>
      </c>
      <c r="J13" s="23">
        <v>773</v>
      </c>
      <c r="K13" s="23">
        <v>7.7</v>
      </c>
      <c r="L13" s="23">
        <v>11.4</v>
      </c>
      <c r="M13" s="23">
        <v>15</v>
      </c>
      <c r="N13" s="23">
        <v>18.7</v>
      </c>
      <c r="O13" s="23">
        <v>23.2</v>
      </c>
      <c r="P13" s="23">
        <v>28.6</v>
      </c>
      <c r="Q13" s="24">
        <v>35.200000000000003</v>
      </c>
    </row>
    <row r="14" spans="1:17" ht="20.100000000000001" customHeight="1">
      <c r="A14" s="4"/>
      <c r="B14" s="31" t="s">
        <v>80</v>
      </c>
      <c r="C14" s="31"/>
      <c r="D14" s="31"/>
      <c r="E14" s="4"/>
      <c r="F14" s="22" t="s">
        <v>16</v>
      </c>
      <c r="G14" s="23">
        <v>355</v>
      </c>
      <c r="H14" s="23">
        <v>533</v>
      </c>
      <c r="I14" s="23">
        <v>300</v>
      </c>
      <c r="J14" s="23">
        <v>833</v>
      </c>
      <c r="K14" s="23">
        <v>8.6999999999999993</v>
      </c>
      <c r="L14" s="23">
        <v>12.9</v>
      </c>
      <c r="M14" s="23">
        <v>16.899999999999999</v>
      </c>
      <c r="N14" s="23">
        <v>21.1</v>
      </c>
      <c r="O14" s="23">
        <v>26.1</v>
      </c>
      <c r="P14" s="23">
        <v>32.200000000000003</v>
      </c>
      <c r="Q14" s="24">
        <v>39.700000000000003</v>
      </c>
    </row>
    <row r="15" spans="1:17" ht="20.100000000000001" customHeight="1">
      <c r="A15" s="4"/>
      <c r="B15" s="11" t="s">
        <v>62</v>
      </c>
      <c r="C15" s="34" t="s">
        <v>81</v>
      </c>
      <c r="D15" s="35"/>
      <c r="E15" s="4"/>
      <c r="F15" s="22" t="s">
        <v>17</v>
      </c>
      <c r="G15" s="23">
        <v>400</v>
      </c>
      <c r="H15" s="23">
        <v>600</v>
      </c>
      <c r="I15" s="23">
        <v>300</v>
      </c>
      <c r="J15" s="23">
        <v>900</v>
      </c>
      <c r="K15" s="23">
        <v>9.8000000000000007</v>
      </c>
      <c r="L15" s="23">
        <v>14.5</v>
      </c>
      <c r="M15" s="23">
        <v>19.100000000000001</v>
      </c>
      <c r="N15" s="23">
        <v>23.7</v>
      </c>
      <c r="O15" s="23">
        <v>29.4</v>
      </c>
      <c r="P15" s="23">
        <v>36.299999999999997</v>
      </c>
      <c r="Q15" s="24">
        <v>44.7</v>
      </c>
    </row>
    <row r="16" spans="1:17" ht="20.100000000000001" customHeight="1">
      <c r="A16" s="4"/>
      <c r="B16" s="14" t="s">
        <v>58</v>
      </c>
      <c r="C16" s="36" t="s">
        <v>82</v>
      </c>
      <c r="D16" s="37"/>
      <c r="E16" s="4"/>
      <c r="F16" s="22" t="s">
        <v>18</v>
      </c>
      <c r="G16" s="23">
        <v>450</v>
      </c>
      <c r="H16" s="23">
        <v>675</v>
      </c>
      <c r="I16" s="23">
        <v>300</v>
      </c>
      <c r="J16" s="23">
        <v>975</v>
      </c>
      <c r="K16" s="23">
        <v>11</v>
      </c>
      <c r="L16" s="23">
        <v>16.3</v>
      </c>
      <c r="M16" s="23">
        <v>21.5</v>
      </c>
      <c r="N16" s="23">
        <v>26.7</v>
      </c>
      <c r="O16" s="23">
        <v>33.1</v>
      </c>
      <c r="P16" s="23">
        <v>40.9</v>
      </c>
      <c r="Q16" s="24">
        <v>50.3</v>
      </c>
    </row>
    <row r="17" spans="1:17" ht="20.100000000000001" customHeight="1">
      <c r="A17" s="4"/>
      <c r="B17" s="14" t="s">
        <v>60</v>
      </c>
      <c r="C17" s="36" t="s">
        <v>83</v>
      </c>
      <c r="D17" s="37"/>
      <c r="E17" s="4"/>
      <c r="F17" s="22" t="s">
        <v>19</v>
      </c>
      <c r="G17" s="23">
        <v>500</v>
      </c>
      <c r="H17" s="23">
        <v>750</v>
      </c>
      <c r="I17" s="23">
        <v>350</v>
      </c>
      <c r="J17" s="23">
        <v>1100</v>
      </c>
      <c r="K17" s="23">
        <v>12.3</v>
      </c>
      <c r="L17" s="23">
        <v>18.100000000000001</v>
      </c>
      <c r="M17" s="23">
        <v>23.9</v>
      </c>
      <c r="N17" s="23">
        <v>29.7</v>
      </c>
      <c r="O17" s="23">
        <v>36.799999999999997</v>
      </c>
      <c r="P17" s="23">
        <v>45.4</v>
      </c>
      <c r="Q17" s="24">
        <v>55.8</v>
      </c>
    </row>
    <row r="18" spans="1:17" ht="15">
      <c r="A18" s="4"/>
      <c r="B18" s="14" t="s">
        <v>84</v>
      </c>
      <c r="C18" s="36" t="s">
        <v>85</v>
      </c>
      <c r="D18" s="37"/>
      <c r="E18" s="4"/>
      <c r="F18" s="22" t="s">
        <v>20</v>
      </c>
      <c r="G18" s="23">
        <v>560</v>
      </c>
      <c r="H18" s="23">
        <v>840</v>
      </c>
      <c r="I18" s="23">
        <v>350</v>
      </c>
      <c r="J18" s="23">
        <v>1190</v>
      </c>
      <c r="K18" s="23">
        <v>13.7</v>
      </c>
      <c r="L18" s="23">
        <v>20.3</v>
      </c>
      <c r="M18" s="23">
        <v>26.7</v>
      </c>
      <c r="N18" s="23">
        <v>33.200000000000003</v>
      </c>
      <c r="O18" s="23">
        <v>41.2</v>
      </c>
      <c r="P18" s="23">
        <v>50.8</v>
      </c>
      <c r="Q18" s="24" t="s">
        <v>37</v>
      </c>
    </row>
    <row r="19" spans="1:17" ht="15">
      <c r="A19" s="4"/>
      <c r="B19" s="17" t="s">
        <v>8</v>
      </c>
      <c r="C19" s="38" t="s">
        <v>91</v>
      </c>
      <c r="D19" s="39"/>
      <c r="E19" s="4"/>
      <c r="F19" s="22" t="s">
        <v>21</v>
      </c>
      <c r="G19" s="23">
        <v>630</v>
      </c>
      <c r="H19" s="23">
        <v>945</v>
      </c>
      <c r="I19" s="23">
        <v>350</v>
      </c>
      <c r="J19" s="23">
        <v>1295</v>
      </c>
      <c r="K19" s="23">
        <v>15.4</v>
      </c>
      <c r="L19" s="23">
        <v>22.8</v>
      </c>
      <c r="M19" s="23">
        <v>30</v>
      </c>
      <c r="N19" s="23">
        <v>37.4</v>
      </c>
      <c r="O19" s="23">
        <v>46.2</v>
      </c>
      <c r="P19" s="23">
        <v>57.2</v>
      </c>
      <c r="Q19" s="24" t="s">
        <v>37</v>
      </c>
    </row>
    <row r="20" spans="1:17" ht="20.100000000000001" customHeight="1">
      <c r="A20" s="4"/>
      <c r="B20" s="4"/>
      <c r="C20" s="4"/>
      <c r="D20" s="4"/>
      <c r="E20" s="4"/>
      <c r="F20" s="22" t="s">
        <v>22</v>
      </c>
      <c r="G20" s="23">
        <v>710</v>
      </c>
      <c r="H20" s="23">
        <v>1065</v>
      </c>
      <c r="I20" s="23">
        <v>350</v>
      </c>
      <c r="J20" s="23">
        <v>1415</v>
      </c>
      <c r="K20" s="23">
        <v>17.399999999999999</v>
      </c>
      <c r="L20" s="23">
        <v>25.7</v>
      </c>
      <c r="M20" s="23">
        <v>33.9</v>
      </c>
      <c r="N20" s="23">
        <v>42.1</v>
      </c>
      <c r="O20" s="23">
        <v>52.2</v>
      </c>
      <c r="P20" s="23" t="s">
        <v>37</v>
      </c>
      <c r="Q20" s="24" t="s">
        <v>37</v>
      </c>
    </row>
    <row r="21" spans="1:17" ht="20.100000000000001" customHeight="1">
      <c r="A21" s="4"/>
      <c r="B21" s="4"/>
      <c r="C21" s="4"/>
      <c r="D21" s="4"/>
      <c r="E21" s="4"/>
      <c r="F21" s="22" t="s">
        <v>23</v>
      </c>
      <c r="G21" s="23">
        <v>800</v>
      </c>
      <c r="H21" s="23">
        <v>1200</v>
      </c>
      <c r="I21" s="23">
        <v>350</v>
      </c>
      <c r="J21" s="23">
        <v>1550</v>
      </c>
      <c r="K21" s="23">
        <v>19.600000000000001</v>
      </c>
      <c r="L21" s="23">
        <v>29</v>
      </c>
      <c r="M21" s="23">
        <v>38.1</v>
      </c>
      <c r="N21" s="23">
        <v>47.4</v>
      </c>
      <c r="O21" s="23">
        <v>58.8</v>
      </c>
      <c r="P21" s="23" t="s">
        <v>37</v>
      </c>
      <c r="Q21" s="24" t="s">
        <v>37</v>
      </c>
    </row>
    <row r="22" spans="1:17" ht="20.100000000000001" customHeight="1">
      <c r="A22" s="4"/>
      <c r="B22" s="4"/>
      <c r="C22" s="4"/>
      <c r="D22" s="4"/>
      <c r="E22" s="4"/>
      <c r="F22" s="22" t="s">
        <v>24</v>
      </c>
      <c r="G22" s="23">
        <v>900</v>
      </c>
      <c r="H22" s="23">
        <v>1350</v>
      </c>
      <c r="I22" s="23">
        <v>400</v>
      </c>
      <c r="J22" s="23">
        <v>1750</v>
      </c>
      <c r="K22" s="23">
        <v>22</v>
      </c>
      <c r="L22" s="23">
        <v>32.6</v>
      </c>
      <c r="M22" s="23">
        <v>42.9</v>
      </c>
      <c r="N22" s="23">
        <v>53.3</v>
      </c>
      <c r="O22" s="23" t="s">
        <v>37</v>
      </c>
      <c r="P22" s="23" t="s">
        <v>37</v>
      </c>
      <c r="Q22" s="24" t="s">
        <v>37</v>
      </c>
    </row>
    <row r="23" spans="1:17" ht="20.100000000000001" customHeight="1">
      <c r="A23" s="4"/>
      <c r="B23" s="4"/>
      <c r="C23" s="4"/>
      <c r="D23" s="4"/>
      <c r="E23" s="4"/>
      <c r="F23" s="22" t="s">
        <v>25</v>
      </c>
      <c r="G23" s="23">
        <v>1000</v>
      </c>
      <c r="H23" s="23">
        <v>1500</v>
      </c>
      <c r="I23" s="23">
        <v>400</v>
      </c>
      <c r="J23" s="23">
        <v>1900</v>
      </c>
      <c r="K23" s="23">
        <v>24.5</v>
      </c>
      <c r="L23" s="23">
        <v>36.200000000000003</v>
      </c>
      <c r="M23" s="23">
        <v>47.7</v>
      </c>
      <c r="N23" s="23">
        <v>59.3</v>
      </c>
      <c r="O23" s="23" t="s">
        <v>37</v>
      </c>
      <c r="P23" s="23" t="s">
        <v>37</v>
      </c>
      <c r="Q23" s="24" t="s">
        <v>37</v>
      </c>
    </row>
    <row r="24" spans="1:17" ht="20.100000000000001" customHeight="1">
      <c r="A24" s="4"/>
      <c r="B24" s="4"/>
      <c r="C24" s="4"/>
      <c r="D24" s="4"/>
      <c r="E24" s="4"/>
      <c r="F24" s="22" t="s">
        <v>26</v>
      </c>
      <c r="G24" s="23">
        <v>1200</v>
      </c>
      <c r="H24" s="23">
        <v>1800</v>
      </c>
      <c r="I24" s="23">
        <v>400</v>
      </c>
      <c r="J24" s="23">
        <v>2200</v>
      </c>
      <c r="K24" s="23">
        <v>29.4</v>
      </c>
      <c r="L24" s="23">
        <v>43.4</v>
      </c>
      <c r="M24" s="23">
        <v>57.2</v>
      </c>
      <c r="N24" s="23" t="s">
        <v>37</v>
      </c>
      <c r="O24" s="23" t="s">
        <v>37</v>
      </c>
      <c r="P24" s="23" t="s">
        <v>37</v>
      </c>
      <c r="Q24" s="24" t="s">
        <v>37</v>
      </c>
    </row>
    <row r="25" spans="1:17" ht="20.100000000000001" customHeight="1">
      <c r="A25" s="4"/>
      <c r="B25" s="4"/>
      <c r="C25" s="4"/>
      <c r="D25" s="4"/>
      <c r="E25" s="4"/>
      <c r="F25" s="22" t="s">
        <v>27</v>
      </c>
      <c r="G25" s="23">
        <v>1400</v>
      </c>
      <c r="H25" s="23">
        <v>2100</v>
      </c>
      <c r="I25" s="23">
        <v>400</v>
      </c>
      <c r="J25" s="23">
        <v>2500</v>
      </c>
      <c r="K25" s="23">
        <v>34.299999999999997</v>
      </c>
      <c r="L25" s="23">
        <v>50.6</v>
      </c>
      <c r="M25" s="23" t="s">
        <v>37</v>
      </c>
      <c r="N25" s="23" t="s">
        <v>37</v>
      </c>
      <c r="O25" s="23" t="s">
        <v>37</v>
      </c>
      <c r="P25" s="23" t="s">
        <v>37</v>
      </c>
      <c r="Q25" s="24" t="s">
        <v>37</v>
      </c>
    </row>
    <row r="26" spans="1:17" ht="20.100000000000001" customHeight="1">
      <c r="A26" s="4"/>
      <c r="B26" s="4"/>
      <c r="C26" s="4"/>
      <c r="D26" s="4"/>
      <c r="E26" s="4"/>
      <c r="F26" s="26" t="s">
        <v>28</v>
      </c>
      <c r="G26" s="27">
        <v>1600</v>
      </c>
      <c r="H26" s="27">
        <v>2400</v>
      </c>
      <c r="I26" s="27">
        <v>400</v>
      </c>
      <c r="J26" s="27">
        <v>2800</v>
      </c>
      <c r="K26" s="27">
        <v>39.200000000000003</v>
      </c>
      <c r="L26" s="27">
        <v>57.9</v>
      </c>
      <c r="M26" s="27" t="s">
        <v>37</v>
      </c>
      <c r="N26" s="27" t="s">
        <v>37</v>
      </c>
      <c r="O26" s="27" t="s">
        <v>37</v>
      </c>
      <c r="P26" s="27" t="s">
        <v>37</v>
      </c>
      <c r="Q26" s="28" t="s">
        <v>37</v>
      </c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</sheetData>
  <mergeCells count="10">
    <mergeCell ref="C19:D19"/>
    <mergeCell ref="C18:D18"/>
    <mergeCell ref="C17:D17"/>
    <mergeCell ref="C16:D16"/>
    <mergeCell ref="C15:D15"/>
    <mergeCell ref="B1:E1"/>
    <mergeCell ref="B14:D14"/>
    <mergeCell ref="C3:D3"/>
    <mergeCell ref="C12:D12"/>
    <mergeCell ref="C11:D11"/>
  </mergeCells>
  <dataValidations disablePrompts="1" count="2">
    <dataValidation type="list" sqref="C4" xr:uid="{00000000-0002-0000-0600-000000000000}">
      <formula1>"PN4,PN6,PN8,PN10,PN12,5,PN16,PN20"</formula1>
    </dataValidation>
    <dataValidation type="list" sqref="C5" xr:uid="{00000000-0002-0000-0600-000001000000}">
      <formula1>"110,125,140,160,180,200,225,250,280,315,355,400,450,500,560,630,710,800,900,1000,1200,1400,1600"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BD_Codos</vt:lpstr>
      <vt:lpstr>BD_PN</vt:lpstr>
      <vt:lpstr>BUSCADOR</vt:lpstr>
      <vt:lpstr>Codo 30</vt:lpstr>
      <vt:lpstr>Codo 45</vt:lpstr>
      <vt:lpstr>Codo 60</vt:lpstr>
      <vt:lpstr>Codo 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Sanhueza</cp:lastModifiedBy>
  <dcterms:modified xsi:type="dcterms:W3CDTF">2026-08-22T04:14:58Z</dcterms:modified>
</cp:coreProperties>
</file>